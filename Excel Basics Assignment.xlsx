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8_{97AB5672-B9DE-4E89-8628-A9DE367592B9}" xr6:coauthVersionLast="47" xr6:coauthVersionMax="47" xr10:uidLastSave="{00000000-0000-0000-0000-000000000000}"/>
  <bookViews>
    <workbookView xWindow="-108" yWindow="-108" windowWidth="23256" windowHeight="12456" firstSheet="1" activeTab="8" xr2:uid="{EAF2ABC9-3208-4FEA-91D8-139E8A9CF439}"/>
  </bookViews>
  <sheets>
    <sheet name="Question 1" sheetId="1" r:id="rId1"/>
    <sheet name="Question 2" sheetId="2" r:id="rId2"/>
    <sheet name="Question 3" sheetId="3" r:id="rId3"/>
    <sheet name="Question 4" sheetId="4" r:id="rId4"/>
    <sheet name="Qusetion 5" sheetId="7" r:id="rId5"/>
    <sheet name="Question 6" sheetId="10" r:id="rId6"/>
    <sheet name="Question 7" sheetId="11" r:id="rId7"/>
    <sheet name="Question 8" sheetId="12" r:id="rId8"/>
    <sheet name="Dataset - Sheet1 " sheetId="9" r:id="rId9"/>
  </sheets>
  <definedNames>
    <definedName name="_xlnm._FilterDatabase" localSheetId="6" hidden="1">'Question 7'!$B$7:$B$12</definedName>
    <definedName name="ExternalData_1" localSheetId="8" hidden="1">'Dataset - Sheet1 '!$A$1:$G$51</definedName>
    <definedName name="ExternalData_1" localSheetId="3" hidden="1">'Question 4'!$A$5:$G$55</definedName>
    <definedName name="ExternalData_1" localSheetId="6" hidden="1">'Question 7'!#REF!</definedName>
    <definedName name="ExternalData_1" localSheetId="4" hidden="1">'Qusetion 5'!$B$8:$H$58</definedName>
    <definedName name="ExternalData_2" localSheetId="5" hidden="1">'Question 6'!$A$6:$G$56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0" l="1"/>
  <c r="H10" i="10"/>
  <c r="H11" i="10"/>
  <c r="H12" i="10"/>
  <c r="H13" i="10"/>
  <c r="H14" i="10"/>
  <c r="H15" i="10"/>
  <c r="C10" i="11" s="1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C11" i="11"/>
  <c r="C12" i="11"/>
  <c r="H8" i="10"/>
  <c r="H7" i="10"/>
  <c r="O17" i="10" s="1"/>
  <c r="I9" i="7"/>
  <c r="I11" i="7"/>
  <c r="I10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M16" i="4"/>
  <c r="F13" i="3"/>
  <c r="F14" i="2"/>
  <c r="C9" i="11" l="1"/>
  <c r="C8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B75D02-5509-46F7-A211-7B1A3C94971C}" keepAlive="1" name="Query - Dataset - Sheet1" description="Connection to the 'Dataset - Sheet1' query in the workbook." type="5" refreshedVersion="0" background="1">
    <dbPr connection="Provider=Microsoft.Mashup.OleDb.1;Data Source=$Workbook$;Location=&quot;Dataset - Sheet1&quot;;Extended Properties=&quot;&quot;" command="SELECT * FROM [Dataset - Sheet1]"/>
  </connection>
  <connection id="2" xr16:uid="{3FA50386-F3F0-4491-8378-714D88EE1BA3}" keepAlive="1" name="Query - Dataset - Sheet1 (2)" description="Connection to the 'Dataset - Sheet1 (2)' query in the workbook." type="5" refreshedVersion="8" background="1" saveData="1">
    <dbPr connection="Provider=Microsoft.Mashup.OleDb.1;Data Source=$Workbook$;Location=&quot;Dataset - Sheet1 (2)&quot;;Extended Properties=&quot;&quot;" command="SELECT * FROM [Dataset - Sheet1 (2)]"/>
  </connection>
  <connection id="3" xr16:uid="{C77FD898-2B78-44FE-8AA8-F1B947D7F346}" keepAlive="1" name="Query - Dataset - Sheet1 (3)" description="Connection to the 'Dataset - Sheet1 (3)' query in the workbook." type="5" refreshedVersion="8" background="1" saveData="1">
    <dbPr connection="Provider=Microsoft.Mashup.OleDb.1;Data Source=$Workbook$;Location=&quot;Dataset - Sheet1 (3)&quot;;Extended Properties=&quot;&quot;" command="SELECT * FROM [Dataset - Sheet1 (3)]"/>
  </connection>
  <connection id="4" xr16:uid="{AFAF878D-A1F7-4A39-9F22-F47A4B017C19}" keepAlive="1" name="Query - Dataset - Sheet1 (4)" description="Connection to the 'Dataset - Sheet1 (4)' query in the workbook." type="5" refreshedVersion="8" background="1" saveData="1">
    <dbPr connection="Provider=Microsoft.Mashup.OleDb.1;Data Source=$Workbook$;Location=&quot;Dataset - Sheet1 (4)&quot;;Extended Properties=&quot;&quot;" command="SELECT * FROM [Dataset - Sheet1 (4)]"/>
  </connection>
  <connection id="5" xr16:uid="{C3B02A3C-014C-4718-BB96-B1D27B0AF164}" keepAlive="1" name="Query - Dataset - Sheet1 (5)" description="Connection to the 'Dataset - Sheet1 (5)' query in the workbook." type="5" refreshedVersion="8" background="1" saveData="1">
    <dbPr connection="Provider=Microsoft.Mashup.OleDb.1;Data Source=$Workbook$;Location=&quot;Dataset - Sheet1 (5)&quot;;Extended Properties=&quot;&quot;" command="SELECT * FROM [Dataset - Sheet1 (5)]"/>
  </connection>
  <connection id="6" xr16:uid="{0BC2CDAB-67FF-44B0-A11C-C5A6BA304B4D}" keepAlive="1" name="Query - Dataset - Sheet1 (6)" description="Connection to the 'Dataset - Sheet1 (6)' query in the workbook." type="5" refreshedVersion="8" background="1" saveData="1">
    <dbPr connection="Provider=Microsoft.Mashup.OleDb.1;Data Source=$Workbook$;Location=&quot;Dataset - Sheet1 (6)&quot;;Extended Properties=&quot;&quot;" command="SELECT * FROM [Dataset - Sheet1 (6)]"/>
  </connection>
</connections>
</file>

<file path=xl/sharedStrings.xml><?xml version="1.0" encoding="utf-8"?>
<sst xmlns="http://schemas.openxmlformats.org/spreadsheetml/2006/main" count="665" uniqueCount="93">
  <si>
    <t>Question 1.)  Explain the difference between Relative, Absolute and Mixed Cell Referencing.</t>
  </si>
  <si>
    <t>Relative Reference</t>
  </si>
  <si>
    <t>Absolute Reference</t>
  </si>
  <si>
    <t>Mixed Reference</t>
  </si>
  <si>
    <t>Vehicle</t>
  </si>
  <si>
    <t>Price</t>
  </si>
  <si>
    <t>Car</t>
  </si>
  <si>
    <t>Bicycle</t>
  </si>
  <si>
    <t>Auto-Rickshaw</t>
  </si>
  <si>
    <t>Total Sales of Car and Bicycle -</t>
  </si>
  <si>
    <t>ITEM</t>
  </si>
  <si>
    <t>PRICE</t>
  </si>
  <si>
    <t>SALES</t>
  </si>
  <si>
    <t>ITEM A</t>
  </si>
  <si>
    <t>ITEM B</t>
  </si>
  <si>
    <t>ITEM C</t>
  </si>
  <si>
    <t>Average Sales(&gt;100 and &lt;300) -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</si>
  <si>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</si>
  <si>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</si>
  <si>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</si>
  <si>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</si>
  <si>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</si>
  <si>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</si>
  <si>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</si>
  <si>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</si>
  <si>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</si>
  <si>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</si>
  <si>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</si>
  <si>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</si>
  <si>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</si>
  <si>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</si>
  <si>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</si>
  <si>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</si>
  <si>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</si>
  <si>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</si>
  <si>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</si>
  <si>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</si>
  <si>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</si>
  <si>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</si>
  <si>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</si>
  <si>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</si>
  <si>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</si>
  <si>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</si>
  <si>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</si>
  <si>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</si>
  <si>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</si>
  <si>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</si>
  <si>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</si>
  <si>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</si>
  <si>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</si>
  <si>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</si>
  <si>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</si>
  <si>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</si>
  <si>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</si>
  <si>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</si>
  <si>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</si>
  <si>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</si>
  <si>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</si>
  <si>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</si>
  <si>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</si>
  <si>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</si>
  <si>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</si>
  <si>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</si>
  <si>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</si>
  <si>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</si>
  <si>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</si>
  <si>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</si>
  <si>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</si>
  <si>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</si>
  <si>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</si>
  <si>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</si>
  <si>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</si>
  <si>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</si>
  <si>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</si>
  <si>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</si>
  <si>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</si>
  <si>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</si>
  <si>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</si>
  <si>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</si>
  <si>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</si>
  <si>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</si>
  <si>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</si>
  <si>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</si>
  <si>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Total Customer Names</t>
  </si>
  <si>
    <t>Total Sales</t>
  </si>
  <si>
    <t>Total sales of Notebooks in the North region only is :</t>
  </si>
  <si>
    <t>Question 2) : Write a formula to calculate the total sales of Car and Bicyle only only.</t>
  </si>
  <si>
    <t>Question 3) : Using the data below, write a formula to calculate the average sales of items priced above 100 but less than 300</t>
  </si>
  <si>
    <t>Question 4) : Count how many customer names are recorded.</t>
  </si>
  <si>
    <t>Question 5) : Calculate the Total Sales for each row using a formula.</t>
  </si>
  <si>
    <t>Question 6) : Calculate the total sales of Notebooks in the North region only.</t>
  </si>
  <si>
    <t>Question 7) :Create a column chart showing total sales by product.</t>
  </si>
  <si>
    <t>Question 8 : Insert a line chart showing daily sales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</si>
</sst>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8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16" xfId="0" applyFont="1" applyBorder="1"/>
    <xf numFmtId="0" fontId="0" fillId="0" borderId="0" xfId="0" quotePrefix="1"/>
    <xf numFmtId="0" fontId="4" fillId="0" borderId="17" xfId="0" applyFont="1" applyBorder="1"/>
    <xf numFmtId="0" fontId="8" fillId="0" borderId="18" xfId="0" applyFont="1" applyBorder="1"/>
    <xf numFmtId="0" fontId="9" fillId="0" borderId="10" xfId="0" applyFont="1" applyBorder="1"/>
    <xf numFmtId="0" fontId="8" fillId="0" borderId="0" xfId="0" applyFont="1"/>
    <xf numFmtId="0" fontId="10" fillId="0" borderId="10" xfId="0" applyFont="1" applyBorder="1" applyAlignment="1">
      <alignment horizontal="center"/>
    </xf>
    <xf numFmtId="14" fontId="0" fillId="0" borderId="0" xfId="0" applyNumberFormat="1"/>
    <xf numFmtId="0" fontId="5" fillId="5" borderId="20" xfId="0" applyFont="1" applyFill="1" applyBorder="1"/>
    <xf numFmtId="0" fontId="5" fillId="5" borderId="21" xfId="0" applyFont="1" applyFill="1" applyBorder="1"/>
    <xf numFmtId="0" fontId="0" fillId="6" borderId="19" xfId="0" applyFill="1" applyBorder="1"/>
    <xf numFmtId="0" fontId="0" fillId="0" borderId="19" xfId="0" applyBorder="1"/>
    <xf numFmtId="0" fontId="0" fillId="0" borderId="20" xfId="0" applyBorder="1"/>
    <xf numFmtId="0" fontId="0" fillId="6" borderId="20" xfId="0" applyFill="1" applyBorder="1"/>
    <xf numFmtId="14" fontId="0" fillId="6" borderId="21" xfId="0" applyNumberFormat="1" applyFill="1" applyBorder="1"/>
    <xf numFmtId="14" fontId="0" fillId="0" borderId="21" xfId="0" applyNumberFormat="1" applyBorder="1"/>
    <xf numFmtId="0" fontId="11" fillId="0" borderId="10" xfId="0" applyFont="1" applyBorder="1" applyAlignment="1">
      <alignment horizontal="center"/>
    </xf>
    <xf numFmtId="0" fontId="6" fillId="0" borderId="0" xfId="0" applyFont="1"/>
    <xf numFmtId="0" fontId="6" fillId="3" borderId="0" xfId="0" applyFont="1" applyFill="1"/>
    <xf numFmtId="0" fontId="11" fillId="0" borderId="10" xfId="0" applyFont="1" applyBorder="1"/>
    <xf numFmtId="0" fontId="7" fillId="7" borderId="0" xfId="0" applyFont="1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18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color rgb="FFFF0000"/>
        <name val="Calibri"/>
        <family val="2"/>
        <scheme val="minor"/>
      </font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color rgb="FFFF0000"/>
        <name val="Calibri"/>
        <family val="2"/>
        <scheme val="minor"/>
      </font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6F076"/>
      <color rgb="FFF2E92C"/>
      <color rgb="FFDEDE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7'!$C$7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 7'!$B$8:$B$12</c:f>
              <c:strCache>
                <c:ptCount val="5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Pencil</c:v>
                </c:pt>
                <c:pt idx="4">
                  <c:v>Eraser</c:v>
                </c:pt>
              </c:strCache>
            </c:strRef>
          </c:cat>
          <c:val>
            <c:numRef>
              <c:f>'Question 7'!$C$8:$C$12</c:f>
              <c:numCache>
                <c:formatCode>General</c:formatCode>
                <c:ptCount val="5"/>
                <c:pt idx="0">
                  <c:v>7550</c:v>
                </c:pt>
                <c:pt idx="1">
                  <c:v>2180</c:v>
                </c:pt>
                <c:pt idx="2">
                  <c:v>3650</c:v>
                </c:pt>
                <c:pt idx="3">
                  <c:v>1235</c:v>
                </c:pt>
                <c:pt idx="4">
                  <c:v>1928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9F-4FAD-A389-D7DD03FD0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84808640"/>
        <c:axId val="384810800"/>
      </c:barChart>
      <c:catAx>
        <c:axId val="384808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Product</a:t>
                </a:r>
              </a:p>
            </c:rich>
          </c:tx>
          <c:layout>
            <c:manualLayout>
              <c:xMode val="edge"/>
              <c:yMode val="edge"/>
              <c:x val="0.43525568678915133"/>
              <c:y val="0.901513240857503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10800"/>
        <c:crosses val="autoZero"/>
        <c:auto val="1"/>
        <c:lblAlgn val="ctr"/>
        <c:lblOffset val="100"/>
        <c:noMultiLvlLbl val="0"/>
      </c:catAx>
      <c:valAx>
        <c:axId val="38481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Sales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379101918691437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0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Sales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8'!$C$5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'Question 8'!$B$6:$B$55</c:f>
              <c:numCache>
                <c:formatCode>m/d/yyyy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'Question 8'!$C$6:$C$55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15-4A43-920F-E974DACA6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017200"/>
        <c:axId val="1058017920"/>
      </c:lineChart>
      <c:dateAx>
        <c:axId val="105801720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017920"/>
        <c:crosses val="autoZero"/>
        <c:auto val="1"/>
        <c:lblOffset val="100"/>
        <c:baseTimeUnit val="days"/>
      </c:dateAx>
      <c:valAx>
        <c:axId val="105801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01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30480</xdr:colOff>
      <xdr:row>6</xdr:row>
      <xdr:rowOff>144780</xdr:rowOff>
    </xdr:from>
    <xdr:ext cx="3040380" cy="317754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DD7325-B81C-FF4A-7163-5FF59EEFA233}"/>
            </a:ext>
          </a:extLst>
        </xdr:cNvPr>
        <xdr:cNvSpPr txBox="1"/>
      </xdr:nvSpPr>
      <xdr:spPr>
        <a:xfrm>
          <a:off x="1249680" y="1303020"/>
          <a:ext cx="3040380" cy="31775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 b="1"/>
            <a:t>-&gt; </a:t>
          </a:r>
          <a:r>
            <a:rPr lang="en-IN" sz="1200" baseline="0"/>
            <a:t> Relative Reference Changes automatically when copied.</a:t>
          </a:r>
        </a:p>
        <a:p>
          <a:endParaRPr lang="en-IN" sz="1200" baseline="0"/>
        </a:p>
        <a:p>
          <a:r>
            <a:rPr lang="en-IN" sz="1200" b="1" baseline="0"/>
            <a:t>-&gt;</a:t>
          </a:r>
          <a:r>
            <a:rPr lang="en-IN" sz="1200" baseline="0"/>
            <a:t> Excel adjusts both row and coulumn.</a:t>
          </a:r>
        </a:p>
        <a:p>
          <a:endParaRPr lang="en-IN" sz="1200" baseline="0"/>
        </a:p>
        <a:p>
          <a:r>
            <a:rPr lang="en-IN" sz="1200" b="1" baseline="0"/>
            <a:t>-&gt;</a:t>
          </a:r>
          <a:r>
            <a:rPr lang="en-IN" sz="1200" baseline="0"/>
            <a:t> Used when we want formulas to shift.</a:t>
          </a:r>
        </a:p>
        <a:p>
          <a:endParaRPr lang="en-IN" sz="1200" baseline="0"/>
        </a:p>
        <a:p>
          <a:r>
            <a:rPr lang="en-IN" sz="1200" baseline="0"/>
            <a:t>Example :  If B1= A1+5, Copying to B2 becomes A2+5.</a:t>
          </a:r>
        </a:p>
        <a:p>
          <a:r>
            <a:rPr lang="en-IN" sz="1200" baseline="0"/>
            <a:t> </a:t>
          </a:r>
          <a:endParaRPr lang="en-IN" sz="1200"/>
        </a:p>
      </xdr:txBody>
    </xdr:sp>
    <xdr:clientData/>
  </xdr:oneCellAnchor>
  <xdr:oneCellAnchor>
    <xdr:from>
      <xdr:col>8</xdr:col>
      <xdr:colOff>68580</xdr:colOff>
      <xdr:row>5</xdr:row>
      <xdr:rowOff>144780</xdr:rowOff>
    </xdr:from>
    <xdr:ext cx="3025140" cy="245364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08FEE76-18B2-AC46-42AB-158778C9E5C1}"/>
            </a:ext>
          </a:extLst>
        </xdr:cNvPr>
        <xdr:cNvSpPr txBox="1"/>
      </xdr:nvSpPr>
      <xdr:spPr>
        <a:xfrm>
          <a:off x="4960620" y="1120140"/>
          <a:ext cx="3025140" cy="24536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IN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-&gt;</a:t>
          </a:r>
          <a:r>
            <a:rPr lang="en-IN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Absolute </a:t>
          </a:r>
          <a:r>
            <a:rPr lang="en-IN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Reference</a:t>
          </a:r>
          <a:r>
            <a:rPr lang="en-IN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does not change automatically when copied.</a:t>
          </a:r>
        </a:p>
        <a:p>
          <a:endParaRPr lang="en-IN" sz="1200">
            <a:effectLst/>
          </a:endParaRPr>
        </a:p>
        <a:p>
          <a:r>
            <a:rPr lang="en-IN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-&gt;</a:t>
          </a:r>
          <a:r>
            <a:rPr lang="en-IN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Both row and coulumn are fixed using $.</a:t>
          </a:r>
        </a:p>
        <a:p>
          <a:endParaRPr lang="en-IN" sz="1200" b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-&gt;</a:t>
          </a:r>
          <a:r>
            <a:rPr lang="en-IN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Used when you want to lock one fixed               value.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Example :  If B1= A1*$C$1, Copying to anywhere still uses $C$1.</a:t>
          </a:r>
          <a:endParaRPr lang="en-IN" sz="1200">
            <a:effectLst/>
          </a:endParaRPr>
        </a:p>
        <a:p>
          <a:endParaRPr lang="en-IN" sz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IN" sz="1200"/>
        </a:p>
      </xdr:txBody>
    </xdr:sp>
    <xdr:clientData/>
  </xdr:oneCellAnchor>
  <xdr:oneCellAnchor>
    <xdr:from>
      <xdr:col>14</xdr:col>
      <xdr:colOff>190500</xdr:colOff>
      <xdr:row>5</xdr:row>
      <xdr:rowOff>152400</xdr:rowOff>
    </xdr:from>
    <xdr:ext cx="3489960" cy="264414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F18F708-2954-CA95-2474-15D1ACB87F1A}"/>
            </a:ext>
          </a:extLst>
        </xdr:cNvPr>
        <xdr:cNvSpPr txBox="1"/>
      </xdr:nvSpPr>
      <xdr:spPr>
        <a:xfrm>
          <a:off x="8740140" y="1127760"/>
          <a:ext cx="3489960" cy="26441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IN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&gt;</a:t>
          </a:r>
          <a:r>
            <a:rPr lang="en-IN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Mixed </a:t>
          </a:r>
          <a:r>
            <a:rPr lang="en-IN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Reference</a:t>
          </a:r>
          <a:r>
            <a:rPr lang="en-IN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only One part changes, the other stays fixed.</a:t>
          </a:r>
        </a:p>
        <a:p>
          <a:endParaRPr lang="en-IN" sz="12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-&gt;</a:t>
          </a:r>
          <a:r>
            <a:rPr lang="en-IN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Used when copying across rows/columns but need one side constant.</a:t>
          </a:r>
        </a:p>
        <a:p>
          <a:endParaRPr lang="en-IN" sz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-&gt;</a:t>
          </a:r>
          <a:r>
            <a:rPr lang="en-IN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$A1- Column A Fixed</a:t>
          </a:r>
        </a:p>
        <a:p>
          <a:endParaRPr lang="en-IN" sz="1200">
            <a:effectLst/>
          </a:endParaRPr>
        </a:p>
        <a:p>
          <a:pPr eaLnBrk="1" fontAlgn="auto" latinLnBrk="0" hangingPunct="1"/>
          <a:r>
            <a:rPr lang="en-IN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-&gt;</a:t>
          </a:r>
          <a:r>
            <a:rPr lang="en-IN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A$1- Row 1 Fixed</a:t>
          </a:r>
          <a:endParaRPr lang="en-IN" sz="1200">
            <a:effectLst/>
          </a:endParaRPr>
        </a:p>
        <a:p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4</xdr:row>
      <xdr:rowOff>167640</xdr:rowOff>
    </xdr:from>
    <xdr:to>
      <xdr:col>16</xdr:col>
      <xdr:colOff>0</xdr:colOff>
      <xdr:row>10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D925A4-5933-262E-894A-07DC8EC7B640}"/>
            </a:ext>
          </a:extLst>
        </xdr:cNvPr>
        <xdr:cNvSpPr txBox="1"/>
      </xdr:nvSpPr>
      <xdr:spPr>
        <a:xfrm>
          <a:off x="4130040" y="899160"/>
          <a:ext cx="6088380" cy="1173480"/>
        </a:xfrm>
        <a:prstGeom prst="rect">
          <a:avLst/>
        </a:prstGeom>
        <a:solidFill>
          <a:srgbClr val="F6F07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l"/>
          <a:r>
            <a:rPr lang="en-IN" sz="1200"/>
            <a:t>         </a:t>
          </a:r>
          <a:r>
            <a:rPr lang="en-IN" sz="1200" b="1"/>
            <a:t>Solution-&gt;</a:t>
          </a:r>
          <a:r>
            <a:rPr lang="en-IN" sz="1200" baseline="0"/>
            <a:t>  Here, At first, we can find the total sales(price) of Car and Bicycle individually                       </a:t>
          </a:r>
        </a:p>
        <a:p>
          <a:pPr lvl="0" algn="l"/>
          <a:r>
            <a:rPr lang="en-IN" sz="1200" baseline="0"/>
            <a:t>using Sumifs Function.</a:t>
          </a:r>
        </a:p>
        <a:p>
          <a:pPr lvl="0" algn="l"/>
          <a:r>
            <a:rPr lang="en-IN" sz="1200" baseline="0"/>
            <a:t>  Then we can simply get the Total sales(price) of both by simply adding them with Sum    .              Function.</a:t>
          </a:r>
        </a:p>
        <a:p>
          <a:pPr lvl="0" algn="l"/>
          <a:r>
            <a:rPr lang="en-IN" sz="1200" baseline="0"/>
            <a:t>Thus, the Formula will be    </a:t>
          </a:r>
          <a:r>
            <a:rPr lang="en-IN" sz="1200" baseline="0">
              <a:solidFill>
                <a:srgbClr val="FF0000"/>
              </a:solidFill>
            </a:rPr>
            <a:t>=SUM(SUMIFS(E8:E10,D8:D10,{"Bicycle","Car"})</a:t>
          </a:r>
        </a:p>
        <a:p>
          <a:pPr lvl="0" algn="l"/>
          <a:endParaRPr lang="en-IN" sz="1200" baseline="0"/>
        </a:p>
        <a:p>
          <a:pPr algn="l"/>
          <a:endParaRPr lang="en-IN" sz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4</xdr:row>
      <xdr:rowOff>15240</xdr:rowOff>
    </xdr:from>
    <xdr:to>
      <xdr:col>18</xdr:col>
      <xdr:colOff>7620</xdr:colOff>
      <xdr:row>9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D6FD1A-56C1-FE18-73DA-3755364BADFE}"/>
            </a:ext>
          </a:extLst>
        </xdr:cNvPr>
        <xdr:cNvSpPr txBox="1"/>
      </xdr:nvSpPr>
      <xdr:spPr>
        <a:xfrm>
          <a:off x="4282440" y="800100"/>
          <a:ext cx="6697980" cy="975360"/>
        </a:xfrm>
        <a:prstGeom prst="rect">
          <a:avLst/>
        </a:prstGeom>
        <a:solidFill>
          <a:srgbClr val="F6F07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SOLUTION-&gt;   </a:t>
          </a:r>
          <a:r>
            <a:rPr lang="en-IN" sz="1200" b="0"/>
            <a:t>To calculate the average sales of items priced above 100 but less than 300, We</a:t>
          </a:r>
          <a:r>
            <a:rPr lang="en-IN" sz="1200" b="0" baseline="0"/>
            <a:t> can you use </a:t>
          </a:r>
        </a:p>
        <a:p>
          <a:r>
            <a:rPr lang="en-IN" sz="1200" b="0" baseline="0"/>
            <a:t>                        AVERAGEIFS  Function.</a:t>
          </a:r>
        </a:p>
        <a:p>
          <a:r>
            <a:rPr lang="en-IN" sz="1200" b="0" baseline="0"/>
            <a:t>                                    Thus the formula will be, </a:t>
          </a:r>
          <a:r>
            <a:rPr lang="en-IN" sz="1200" b="0" baseline="0">
              <a:solidFill>
                <a:srgbClr val="FF0000"/>
              </a:solidFill>
            </a:rPr>
            <a:t>=AVERAGEIFS(E6:E8,D6:D8,"&gt;100",D6:D8,"&lt;300")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22860</xdr:colOff>
      <xdr:row>3</xdr:row>
      <xdr:rowOff>175260</xdr:rowOff>
    </xdr:from>
    <xdr:ext cx="4244340" cy="11049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1BFDD2-0D19-1192-2402-A3D0A5F01BE7}"/>
            </a:ext>
          </a:extLst>
        </xdr:cNvPr>
        <xdr:cNvSpPr txBox="1"/>
      </xdr:nvSpPr>
      <xdr:spPr>
        <a:xfrm>
          <a:off x="5105400" y="769620"/>
          <a:ext cx="4244340" cy="1104900"/>
        </a:xfrm>
        <a:prstGeom prst="rect">
          <a:avLst/>
        </a:prstGeom>
        <a:solidFill>
          <a:srgbClr val="F6F07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SOLUTION-&gt;   </a:t>
          </a:r>
          <a:r>
            <a:rPr lang="en-IN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calculate the total number of customer names  </a:t>
          </a:r>
        </a:p>
        <a:p>
          <a:r>
            <a:rPr lang="en-IN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recorded we can use COUNTA FUNCTION</a:t>
          </a:r>
          <a:r>
            <a:rPr lang="en-I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IN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</a:t>
          </a:r>
        </a:p>
        <a:p>
          <a:r>
            <a:rPr lang="en-IN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Thus the Formula will be, </a:t>
          </a:r>
          <a:r>
            <a:rPr lang="en-IN" sz="1200" b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=COUNTA(B6:B56)</a:t>
          </a:r>
          <a:endParaRPr lang="en-IN" sz="1100">
            <a:solidFill>
              <a:srgbClr val="FF0000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15240</xdr:colOff>
      <xdr:row>5</xdr:row>
      <xdr:rowOff>7620</xdr:rowOff>
    </xdr:from>
    <xdr:ext cx="3649980" cy="12801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5B8E14-7E9C-9396-7B51-288788E0D55C}"/>
            </a:ext>
          </a:extLst>
        </xdr:cNvPr>
        <xdr:cNvSpPr txBox="1"/>
      </xdr:nvSpPr>
      <xdr:spPr>
        <a:xfrm>
          <a:off x="7993380" y="967740"/>
          <a:ext cx="3649980" cy="1280160"/>
        </a:xfrm>
        <a:prstGeom prst="rect">
          <a:avLst/>
        </a:prstGeom>
        <a:solidFill>
          <a:srgbClr val="F6F07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Solution -&gt; </a:t>
          </a:r>
          <a:r>
            <a:rPr lang="en-IN" sz="1100" b="0" baseline="0"/>
            <a:t> We can calculate the total sales for each row by multiplying  Quantity and Unit Price in each row.</a:t>
          </a:r>
        </a:p>
        <a:p>
          <a:r>
            <a:rPr lang="en-IN" sz="1100" b="0" baseline="0"/>
            <a:t>     </a:t>
          </a:r>
          <a:r>
            <a:rPr lang="en-IN" sz="1100" b="1" baseline="0"/>
            <a:t>              </a:t>
          </a:r>
        </a:p>
        <a:p>
          <a:r>
            <a:rPr lang="en-IN" sz="1100" b="1" baseline="0"/>
            <a:t>         </a:t>
          </a:r>
          <a:r>
            <a:rPr lang="en-IN" sz="1100" b="0" baseline="0"/>
            <a:t>Thus the Formula for </a:t>
          </a:r>
          <a:r>
            <a:rPr lang="en-IN" sz="1100" b="1" i="0" baseline="0"/>
            <a:t>I9</a:t>
          </a:r>
          <a:r>
            <a:rPr lang="en-IN" sz="1100" b="0" baseline="0"/>
            <a:t> cell will be, </a:t>
          </a:r>
        </a:p>
        <a:p>
          <a:r>
            <a:rPr lang="en-IN" sz="1200" b="0" baseline="0"/>
            <a:t>                                 </a:t>
          </a:r>
          <a:r>
            <a:rPr lang="en-IN" sz="1200" b="0" baseline="0">
              <a:solidFill>
                <a:srgbClr val="FF0000"/>
              </a:solidFill>
            </a:rPr>
            <a:t>=F9*G9</a:t>
          </a:r>
        </a:p>
        <a:p>
          <a:r>
            <a:rPr lang="en-IN" sz="1200" b="0" baseline="0">
              <a:solidFill>
                <a:sysClr val="windowText" lastClr="000000"/>
              </a:solidFill>
            </a:rPr>
            <a:t>     </a:t>
          </a:r>
          <a:r>
            <a:rPr lang="en-IN" sz="1050" b="0" baseline="0">
              <a:solidFill>
                <a:sysClr val="windowText" lastClr="000000"/>
              </a:solidFill>
            </a:rPr>
            <a:t>We can drag the formula for getting the Total Sales Column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213360</xdr:colOff>
      <xdr:row>4</xdr:row>
      <xdr:rowOff>30480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21E3018-558F-6D1E-0F44-C664D10305F4}"/>
            </a:ext>
          </a:extLst>
        </xdr:cNvPr>
        <xdr:cNvSpPr txBox="1"/>
      </xdr:nvSpPr>
      <xdr:spPr>
        <a:xfrm>
          <a:off x="7642860" y="8077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8</xdr:col>
      <xdr:colOff>601980</xdr:colOff>
      <xdr:row>5</xdr:row>
      <xdr:rowOff>7620</xdr:rowOff>
    </xdr:from>
    <xdr:to>
      <xdr:col>17</xdr:col>
      <xdr:colOff>7620</xdr:colOff>
      <xdr:row>12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3A7189A-2637-96E2-707E-941FFA4EA067}"/>
            </a:ext>
          </a:extLst>
        </xdr:cNvPr>
        <xdr:cNvSpPr txBox="1"/>
      </xdr:nvSpPr>
      <xdr:spPr>
        <a:xfrm>
          <a:off x="6812280" y="967740"/>
          <a:ext cx="4892040" cy="1272540"/>
        </a:xfrm>
        <a:prstGeom prst="rect">
          <a:avLst/>
        </a:prstGeom>
        <a:solidFill>
          <a:srgbClr val="F6F07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Solution-&gt;</a:t>
          </a:r>
          <a:r>
            <a:rPr lang="en-IN" sz="1100"/>
            <a:t> To Calculate the total sales of Notebook in the North region only,</a:t>
          </a:r>
        </a:p>
        <a:p>
          <a:r>
            <a:rPr lang="en-IN" sz="1100"/>
            <a:t>                   we can use SUMIF Function.</a:t>
          </a:r>
        </a:p>
        <a:p>
          <a:r>
            <a:rPr lang="en-IN" sz="1100" baseline="0"/>
            <a:t>   </a:t>
          </a:r>
        </a:p>
        <a:p>
          <a:r>
            <a:rPr lang="en-IN" sz="1100" baseline="0"/>
            <a:t>                 Thus, the Formula will be,    </a:t>
          </a:r>
        </a:p>
        <a:p>
          <a:r>
            <a:rPr lang="en-IN" sz="1100" baseline="0"/>
            <a:t>                      </a:t>
          </a:r>
          <a:r>
            <a:rPr lang="en-IN" sz="1100" b="1" baseline="0">
              <a:solidFill>
                <a:srgbClr val="FF0000"/>
              </a:solidFill>
            </a:rPr>
            <a:t>=SUMIFS(H7:H56,D7:D56,"Notebook",C7:C56,"North")</a:t>
          </a:r>
          <a:endParaRPr lang="en-IN" sz="1100" b="1">
            <a:solidFill>
              <a:srgbClr val="FF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5</xdr:row>
      <xdr:rowOff>110490</xdr:rowOff>
    </xdr:from>
    <xdr:to>
      <xdr:col>12</xdr:col>
      <xdr:colOff>533400</xdr:colOff>
      <xdr:row>22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F9B71-9F22-9ECD-E768-8CEC53BCC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5</xdr:row>
      <xdr:rowOff>140970</xdr:rowOff>
    </xdr:from>
    <xdr:to>
      <xdr:col>21</xdr:col>
      <xdr:colOff>15240</xdr:colOff>
      <xdr:row>20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87C4E3-489C-EB59-49BB-6C0716512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B3171B3-FA0D-48E9-A4CA-C178482F935F}" autoFormatId="16" applyNumberFormats="0" applyBorderFormats="0" applyFontFormats="0" applyPatternFormats="0" applyAlignmentFormats="0" applyWidthHeightFormats="0">
  <queryTableRefresh nextId="8">
    <queryTableFields count="7">
      <queryTableField id="1" name="OrderID" tableColumnId="1"/>
      <queryTableField id="2" name="CustomerName" tableColumnId="2"/>
      <queryTableField id="3" name="Region" tableColumnId="3"/>
      <queryTableField id="4" name="Product" tableColumnId="4"/>
      <queryTableField id="5" name="Quantity" tableColumnId="5"/>
      <queryTableField id="6" name="UnitPrice" tableColumnId="6"/>
      <queryTableField id="7" name="OrderDat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BA9F9E1-4E40-46BA-A0F6-D5D6B7CDEBAE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OrderID" tableColumnId="1"/>
      <queryTableField id="2" name="CustomerName" tableColumnId="2"/>
      <queryTableField id="3" name="Region" tableColumnId="3"/>
      <queryTableField id="4" name="Product" tableColumnId="4"/>
      <queryTableField id="5" name="Quantity" tableColumnId="5"/>
      <queryTableField id="6" name="UnitPrice" tableColumnId="6"/>
      <queryTableField id="7" name="OrderDate" tableColumnId="7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3FA52CC4-19B8-4BB0-AEAF-455058C1E364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OrderID" tableColumnId="1"/>
      <queryTableField id="2" name="CustomerName" tableColumnId="2"/>
      <queryTableField id="3" name="Region" tableColumnId="3"/>
      <queryTableField id="4" name="Product" tableColumnId="4"/>
      <queryTableField id="5" name="Quantity" tableColumnId="5"/>
      <queryTableField id="6" name="UnitPrice" tableColumnId="6"/>
      <queryTableField id="7" name="OrderDate" tableColumnId="7"/>
      <queryTableField id="8" dataBound="0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FF8538-56C2-4FCB-8A88-255DE6322A98}" autoFormatId="16" applyNumberFormats="0" applyBorderFormats="0" applyFontFormats="0" applyPatternFormats="0" applyAlignmentFormats="0" applyWidthHeightFormats="0">
  <queryTableRefresh nextId="8">
    <queryTableFields count="7">
      <queryTableField id="1" name="OrderID" tableColumnId="1"/>
      <queryTableField id="2" name="CustomerName" tableColumnId="2"/>
      <queryTableField id="3" name="Region" tableColumnId="3"/>
      <queryTableField id="4" name="Product" tableColumnId="4"/>
      <queryTableField id="5" name="Quantity" tableColumnId="5"/>
      <queryTableField id="6" name="UnitPrice" tableColumnId="6"/>
      <queryTableField id="7" name="OrderDat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004905-7A95-4D39-B738-CCC98097F8D9}" name="Dataset___Sheet1__24" displayName="Dataset___Sheet1__24" ref="A5:G55" tableType="queryTable" totalsRowShown="0">
  <autoFilter ref="A5:G55" xr:uid="{D3004905-7A95-4D39-B738-CCC98097F8D9}"/>
  <tableColumns count="7">
    <tableColumn id="1" xr3:uid="{9E8D8C26-064A-432C-AAEB-C5AAA5D45FD9}" uniqueName="1" name="OrderID" queryTableFieldId="1"/>
    <tableColumn id="2" xr3:uid="{07C6B639-EA86-40D8-8ADC-E6F17BC4A62E}" uniqueName="2" name="CustomerName" queryTableFieldId="2" dataDxfId="17"/>
    <tableColumn id="3" xr3:uid="{7FC5F437-7F67-46FE-8D9F-C7C173766292}" uniqueName="3" name="Region" queryTableFieldId="3" dataDxfId="16"/>
    <tableColumn id="4" xr3:uid="{03FDA7CF-6489-4B10-AD59-0B5BA45EA436}" uniqueName="4" name="Product" queryTableFieldId="4" dataDxfId="15"/>
    <tableColumn id="5" xr3:uid="{D4587B50-FBC2-4717-88BF-62C58045EAC8}" uniqueName="5" name="Quantity" queryTableFieldId="5"/>
    <tableColumn id="6" xr3:uid="{F5E1EB02-3307-4568-BD4D-6F6A4C2E7189}" uniqueName="6" name="UnitPrice" queryTableFieldId="6"/>
    <tableColumn id="7" xr3:uid="{A79F9D31-0D4D-4CC4-BDF1-27BA1996BD71}" uniqueName="7" name="OrderDate" queryTableFieldId="7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14020D-1FD5-448E-925A-97B6F214D092}" name="Dataset___Sheet1__25" displayName="Dataset___Sheet1__25" ref="B8:I58" tableType="queryTable" totalsRowShown="0">
  <autoFilter ref="B8:I58" xr:uid="{6814020D-1FD5-448E-925A-97B6F214D092}"/>
  <tableColumns count="8">
    <tableColumn id="1" xr3:uid="{F6283621-9EA8-4CB0-8CEA-DFD95A92163C}" uniqueName="1" name="OrderID" queryTableFieldId="1"/>
    <tableColumn id="2" xr3:uid="{29757626-6822-4A1E-849C-A089DB7AC241}" uniqueName="2" name="CustomerName" queryTableFieldId="2" dataDxfId="13"/>
    <tableColumn id="3" xr3:uid="{3666BA8B-27DD-441E-8719-217D83CCD200}" uniqueName="3" name="Region" queryTableFieldId="3" dataDxfId="12"/>
    <tableColumn id="4" xr3:uid="{A3723FED-654C-4768-BAC2-633DB3979AD9}" uniqueName="4" name="Product" queryTableFieldId="4" dataDxfId="11"/>
    <tableColumn id="5" xr3:uid="{48542387-D772-4B15-9EC8-741D332332AA}" uniqueName="5" name="Quantity" queryTableFieldId="5"/>
    <tableColumn id="6" xr3:uid="{C28A53D7-ED18-4E7D-8144-A8C4C097F935}" uniqueName="6" name="UnitPrice" queryTableFieldId="6"/>
    <tableColumn id="7" xr3:uid="{31F70411-4C7E-4E3A-B254-1EE8EABD339E}" uniqueName="7" name="OrderDate" queryTableFieldId="7" dataDxfId="10"/>
    <tableColumn id="8" xr3:uid="{D7BAF225-3747-4493-9780-1B8775C29F2A}" uniqueName="8" name="Total Sales" queryTableFieldId="8" dataDxfId="9">
      <calculatedColumnFormula>F9*G9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AA808E7-5694-4AB7-AC30-B122CB7F9E62}" name="Dataset___Sheet1__257" displayName="Dataset___Sheet1__257" ref="A6:H56" tableType="queryTable" totalsRowShown="0">
  <autoFilter ref="A6:H56" xr:uid="{3AA808E7-5694-4AB7-AC30-B122CB7F9E62}"/>
  <tableColumns count="8">
    <tableColumn id="1" xr3:uid="{28FBCCC9-6915-4531-A4D5-6AA9B3B6A4D5}" uniqueName="1" name="OrderID" queryTableFieldId="1"/>
    <tableColumn id="2" xr3:uid="{5465F051-9E87-49A7-9C1B-198E010A81FA}" uniqueName="2" name="CustomerName" queryTableFieldId="2" dataDxfId="8"/>
    <tableColumn id="3" xr3:uid="{360F2B1B-97F0-4538-83B1-6CA4203825B6}" uniqueName="3" name="Region" queryTableFieldId="3" dataDxfId="7"/>
    <tableColumn id="4" xr3:uid="{9F2C01C0-DC59-440F-BD02-DFB281304817}" uniqueName="4" name="Product" queryTableFieldId="4" dataDxfId="6"/>
    <tableColumn id="5" xr3:uid="{2B2A6C3F-E958-411B-8636-C59537AFC085}" uniqueName="5" name="Quantity" queryTableFieldId="5"/>
    <tableColumn id="6" xr3:uid="{9F6B57F7-D341-4BB8-BD89-CF857EF0D25C}" uniqueName="6" name="UnitPrice" queryTableFieldId="6"/>
    <tableColumn id="7" xr3:uid="{D1D39BAF-A523-4413-B5D3-504765537911}" uniqueName="7" name="OrderDate" queryTableFieldId="7" dataDxfId="5"/>
    <tableColumn id="8" xr3:uid="{DE68941B-7730-41A3-9F93-D8451DB076B0}" uniqueName="8" name="Total Sales" queryTableFieldId="8" dataDxfId="4">
      <calculatedColumnFormula>E7*F7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79A071-C043-4745-8BCA-9EC7CB18AACB}" name="Dataset___Sheet1__2" displayName="Dataset___Sheet1__2" ref="A1:G51" tableType="queryTable" totalsRowShown="0">
  <autoFilter ref="A1:G51" xr:uid="{1379A071-C043-4745-8BCA-9EC7CB18AACB}"/>
  <tableColumns count="7">
    <tableColumn id="1" xr3:uid="{D11D6BFE-F84E-4505-AB34-0721637F8BBC}" uniqueName="1" name="OrderID" queryTableFieldId="1"/>
    <tableColumn id="2" xr3:uid="{231FD95E-F347-4BC1-8571-C015A2EE453A}" uniqueName="2" name="CustomerName" queryTableFieldId="2" dataDxfId="3"/>
    <tableColumn id="3" xr3:uid="{44CA514A-5CD8-4477-9011-D0403DC46949}" uniqueName="3" name="Region" queryTableFieldId="3" dataDxfId="2"/>
    <tableColumn id="4" xr3:uid="{365E6DA6-A47D-42CF-B0CA-30BA60D42819}" uniqueName="4" name="Product" queryTableFieldId="4" dataDxfId="1"/>
    <tableColumn id="5" xr3:uid="{04435D0A-24D5-4133-AC82-775A109E9DA3}" uniqueName="5" name="Quantity" queryTableFieldId="5"/>
    <tableColumn id="6" xr3:uid="{54F4C60E-7B7F-4A0D-BFAF-C534E8F4D453}" uniqueName="6" name="UnitPrice" queryTableFieldId="6"/>
    <tableColumn id="7" xr3:uid="{BC23C33A-3985-4F87-AC20-8170E4256463}" uniqueName="7" name="OrderDat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42B87-12C5-491C-9E27-601824807EA1}">
  <dimension ref="B1:T20"/>
  <sheetViews>
    <sheetView zoomScaleNormal="100" workbookViewId="0">
      <selection activeCell="J23" sqref="J23"/>
    </sheetView>
  </sheetViews>
  <sheetFormatPr defaultRowHeight="14.4" x14ac:dyDescent="0.3"/>
  <cols>
    <col min="4" max="4" width="8.88671875" customWidth="1"/>
    <col min="5" max="5" width="9.109375" customWidth="1"/>
  </cols>
  <sheetData>
    <row r="1" spans="2:20" ht="18" customHeight="1" x14ac:dyDescent="0.3"/>
    <row r="2" spans="2:20" ht="14.4" customHeight="1" x14ac:dyDescent="0.3">
      <c r="E2" s="38" t="s">
        <v>0</v>
      </c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</row>
    <row r="3" spans="2:20" x14ac:dyDescent="0.3"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</row>
    <row r="4" spans="2:20" x14ac:dyDescent="0.3">
      <c r="B4" s="1"/>
      <c r="C4" s="2"/>
      <c r="D4" s="2"/>
      <c r="E4" s="2"/>
      <c r="F4" s="2"/>
      <c r="G4" s="2"/>
      <c r="H4" s="1"/>
      <c r="I4" s="2"/>
      <c r="J4" s="2"/>
      <c r="K4" s="2"/>
      <c r="L4" s="2"/>
      <c r="M4" s="2"/>
      <c r="N4" s="3"/>
      <c r="O4" s="1"/>
      <c r="P4" s="2"/>
      <c r="Q4" s="2"/>
      <c r="R4" s="2"/>
      <c r="S4" s="2"/>
      <c r="T4" s="3"/>
    </row>
    <row r="5" spans="2:20" ht="15.6" x14ac:dyDescent="0.3">
      <c r="B5" s="4"/>
      <c r="D5" s="36" t="s">
        <v>1</v>
      </c>
      <c r="E5" s="37"/>
      <c r="F5" s="37"/>
      <c r="H5" s="4"/>
      <c r="J5" s="36" t="s">
        <v>2</v>
      </c>
      <c r="K5" s="37"/>
      <c r="L5" s="37"/>
      <c r="N5" s="5"/>
      <c r="O5" s="4"/>
      <c r="P5" s="36" t="s">
        <v>3</v>
      </c>
      <c r="Q5" s="37"/>
      <c r="R5" s="37"/>
      <c r="T5" s="5"/>
    </row>
    <row r="6" spans="2:20" x14ac:dyDescent="0.3">
      <c r="B6" s="4"/>
      <c r="H6" s="4"/>
      <c r="N6" s="5"/>
      <c r="O6" s="4"/>
      <c r="T6" s="5"/>
    </row>
    <row r="7" spans="2:20" x14ac:dyDescent="0.3">
      <c r="B7" s="4"/>
      <c r="H7" s="4"/>
      <c r="N7" s="5"/>
      <c r="O7" s="4"/>
      <c r="T7" s="5"/>
    </row>
    <row r="8" spans="2:20" x14ac:dyDescent="0.3">
      <c r="B8" s="4"/>
      <c r="H8" s="4"/>
      <c r="N8" s="5"/>
      <c r="O8" s="4"/>
      <c r="T8" s="5"/>
    </row>
    <row r="9" spans="2:20" x14ac:dyDescent="0.3">
      <c r="B9" s="4"/>
      <c r="H9" s="4"/>
      <c r="N9" s="5"/>
      <c r="O9" s="4"/>
      <c r="T9" s="5"/>
    </row>
    <row r="10" spans="2:20" x14ac:dyDescent="0.3">
      <c r="B10" s="4"/>
      <c r="H10" s="4"/>
      <c r="N10" s="5"/>
      <c r="O10" s="4"/>
      <c r="T10" s="5"/>
    </row>
    <row r="11" spans="2:20" x14ac:dyDescent="0.3">
      <c r="B11" s="4"/>
      <c r="H11" s="4"/>
      <c r="N11" s="5"/>
      <c r="O11" s="4"/>
      <c r="T11" s="5"/>
    </row>
    <row r="12" spans="2:20" x14ac:dyDescent="0.3">
      <c r="B12" s="4"/>
      <c r="H12" s="4"/>
      <c r="N12" s="5"/>
      <c r="O12" s="4"/>
      <c r="T12" s="5"/>
    </row>
    <row r="13" spans="2:20" x14ac:dyDescent="0.3">
      <c r="B13" s="4"/>
      <c r="H13" s="4"/>
      <c r="N13" s="5"/>
      <c r="O13" s="4"/>
      <c r="T13" s="5"/>
    </row>
    <row r="14" spans="2:20" x14ac:dyDescent="0.3">
      <c r="B14" s="4"/>
      <c r="H14" s="4"/>
      <c r="N14" s="5"/>
      <c r="O14" s="4"/>
      <c r="T14" s="5"/>
    </row>
    <row r="15" spans="2:20" x14ac:dyDescent="0.3">
      <c r="B15" s="4"/>
      <c r="H15" s="4"/>
      <c r="N15" s="5"/>
      <c r="O15" s="4"/>
      <c r="T15" s="5"/>
    </row>
    <row r="16" spans="2:20" x14ac:dyDescent="0.3">
      <c r="B16" s="4"/>
      <c r="H16" s="4"/>
      <c r="N16" s="5"/>
      <c r="O16" s="4"/>
      <c r="T16" s="5"/>
    </row>
    <row r="17" spans="2:20" x14ac:dyDescent="0.3">
      <c r="B17" s="4"/>
      <c r="H17" s="4"/>
      <c r="N17" s="5"/>
      <c r="O17" s="4"/>
      <c r="T17" s="5"/>
    </row>
    <row r="18" spans="2:20" x14ac:dyDescent="0.3">
      <c r="B18" s="4"/>
      <c r="H18" s="4"/>
      <c r="N18" s="5"/>
      <c r="O18" s="4"/>
      <c r="T18" s="5"/>
    </row>
    <row r="19" spans="2:20" x14ac:dyDescent="0.3">
      <c r="B19" s="4"/>
      <c r="H19" s="4"/>
      <c r="N19" s="5"/>
      <c r="O19" s="4"/>
      <c r="T19" s="5"/>
    </row>
    <row r="20" spans="2:20" x14ac:dyDescent="0.3">
      <c r="B20" s="6"/>
      <c r="C20" s="7"/>
      <c r="D20" s="7"/>
      <c r="E20" s="7"/>
      <c r="F20" s="7"/>
      <c r="G20" s="7"/>
      <c r="H20" s="6"/>
      <c r="I20" s="7"/>
      <c r="J20" s="7"/>
      <c r="K20" s="7"/>
      <c r="L20" s="7"/>
      <c r="M20" s="7"/>
      <c r="N20" s="8"/>
      <c r="O20" s="6"/>
      <c r="P20" s="7"/>
      <c r="Q20" s="7"/>
      <c r="R20" s="7"/>
      <c r="S20" s="7"/>
      <c r="T20" s="8"/>
    </row>
  </sheetData>
  <mergeCells count="4">
    <mergeCell ref="D5:F5"/>
    <mergeCell ref="J5:L5"/>
    <mergeCell ref="P5:R5"/>
    <mergeCell ref="E2:Q3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E54B5-B4A3-4339-878C-E808ED2F4C9C}">
  <dimension ref="C2:Q14"/>
  <sheetViews>
    <sheetView zoomScaleNormal="100" workbookViewId="0">
      <selection activeCell="F14" sqref="F14"/>
    </sheetView>
  </sheetViews>
  <sheetFormatPr defaultRowHeight="14.4" x14ac:dyDescent="0.3"/>
  <cols>
    <col min="4" max="4" width="14.77734375" bestFit="1" customWidth="1"/>
    <col min="5" max="5" width="9.77734375" customWidth="1"/>
  </cols>
  <sheetData>
    <row r="2" spans="3:17" ht="14.4" customHeight="1" x14ac:dyDescent="0.3">
      <c r="G2" s="39" t="s">
        <v>86</v>
      </c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3:17" x14ac:dyDescent="0.3"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3:17" x14ac:dyDescent="0.3"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6" spans="3:17" ht="15" thickBot="1" x14ac:dyDescent="0.35"/>
    <row r="7" spans="3:17" ht="15.6" x14ac:dyDescent="0.3">
      <c r="D7" s="10" t="s">
        <v>4</v>
      </c>
      <c r="E7" s="11" t="s">
        <v>5</v>
      </c>
      <c r="H7" s="16"/>
    </row>
    <row r="8" spans="3:17" ht="15.6" x14ac:dyDescent="0.3">
      <c r="D8" s="12" t="s">
        <v>6</v>
      </c>
      <c r="E8" s="13">
        <v>500000</v>
      </c>
    </row>
    <row r="9" spans="3:17" ht="15.6" x14ac:dyDescent="0.3">
      <c r="D9" s="12" t="s">
        <v>7</v>
      </c>
      <c r="E9" s="13">
        <v>10500</v>
      </c>
    </row>
    <row r="10" spans="3:17" ht="16.2" thickBot="1" x14ac:dyDescent="0.35">
      <c r="D10" s="14" t="s">
        <v>8</v>
      </c>
      <c r="E10" s="15">
        <v>25000</v>
      </c>
    </row>
    <row r="13" spans="3:17" ht="15" thickBot="1" x14ac:dyDescent="0.35"/>
    <row r="14" spans="3:17" ht="18.600000000000001" thickBot="1" x14ac:dyDescent="0.4">
      <c r="C14" s="40" t="s">
        <v>9</v>
      </c>
      <c r="D14" s="41"/>
      <c r="E14" s="41"/>
      <c r="F14" s="19">
        <f>SUM(SUMIFS(E8:E10,D8:D10,{"Bicycle","Car"}))</f>
        <v>510500</v>
      </c>
    </row>
  </sheetData>
  <mergeCells count="2">
    <mergeCell ref="G2:Q4"/>
    <mergeCell ref="C14:E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1BB09-5078-4F1C-B357-1A929A7F5C70}">
  <dimension ref="B2:T16"/>
  <sheetViews>
    <sheetView workbookViewId="0">
      <selection activeCell="F2" sqref="F2:T3"/>
    </sheetView>
  </sheetViews>
  <sheetFormatPr defaultRowHeight="14.4" x14ac:dyDescent="0.3"/>
  <sheetData>
    <row r="2" spans="2:20" ht="18" customHeight="1" x14ac:dyDescent="0.3">
      <c r="F2" s="42" t="s">
        <v>87</v>
      </c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</row>
    <row r="3" spans="2:20" x14ac:dyDescent="0.3"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</row>
    <row r="4" spans="2:20" ht="15" thickBot="1" x14ac:dyDescent="0.35"/>
    <row r="5" spans="2:20" ht="15.6" x14ac:dyDescent="0.3">
      <c r="C5" s="10" t="s">
        <v>10</v>
      </c>
      <c r="D5" s="17" t="s">
        <v>11</v>
      </c>
      <c r="E5" s="11" t="s">
        <v>12</v>
      </c>
    </row>
    <row r="6" spans="2:20" ht="15.6" x14ac:dyDescent="0.3">
      <c r="C6" s="12" t="s">
        <v>13</v>
      </c>
      <c r="D6" s="9">
        <v>90</v>
      </c>
      <c r="E6" s="13">
        <v>1000</v>
      </c>
    </row>
    <row r="7" spans="2:20" ht="15.6" x14ac:dyDescent="0.3">
      <c r="C7" s="12" t="s">
        <v>14</v>
      </c>
      <c r="D7" s="9">
        <v>150</v>
      </c>
      <c r="E7" s="13">
        <v>1200</v>
      </c>
    </row>
    <row r="8" spans="2:20" ht="16.2" thickBot="1" x14ac:dyDescent="0.35">
      <c r="C8" s="14" t="s">
        <v>15</v>
      </c>
      <c r="D8" s="18">
        <v>250</v>
      </c>
      <c r="E8" s="15">
        <v>1500</v>
      </c>
    </row>
    <row r="12" spans="2:20" ht="15" thickBot="1" x14ac:dyDescent="0.35"/>
    <row r="13" spans="2:20" ht="18.600000000000001" thickBot="1" x14ac:dyDescent="0.4">
      <c r="B13" s="36" t="s">
        <v>16</v>
      </c>
      <c r="C13" s="36"/>
      <c r="D13" s="36"/>
      <c r="E13" s="36"/>
      <c r="F13" s="21">
        <f>AVERAGEIFS(E6:E8,D6:D8,"&gt;100",D6:D8,"&lt;300")</f>
        <v>1350</v>
      </c>
    </row>
    <row r="16" spans="2:20" ht="15.6" x14ac:dyDescent="0.3">
      <c r="E16" s="20"/>
      <c r="F16" s="20"/>
    </row>
  </sheetData>
  <mergeCells count="2">
    <mergeCell ref="F2:T3"/>
    <mergeCell ref="B13:E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2346F-4170-457C-90BB-C4AE0A128C34}">
  <dimension ref="A2:O55"/>
  <sheetViews>
    <sheetView workbookViewId="0">
      <selection activeCell="H2" sqref="H2:O3"/>
    </sheetView>
  </sheetViews>
  <sheetFormatPr defaultRowHeight="14.4" x14ac:dyDescent="0.3"/>
  <cols>
    <col min="7" max="7" width="11.88671875" bestFit="1" customWidth="1"/>
  </cols>
  <sheetData>
    <row r="2" spans="1:15" ht="18" customHeight="1" x14ac:dyDescent="0.3">
      <c r="H2" s="39" t="s">
        <v>88</v>
      </c>
      <c r="I2" s="39"/>
      <c r="J2" s="39"/>
      <c r="K2" s="39"/>
      <c r="L2" s="39"/>
      <c r="M2" s="39"/>
      <c r="N2" s="39"/>
      <c r="O2" s="39"/>
    </row>
    <row r="3" spans="1:15" x14ac:dyDescent="0.3">
      <c r="H3" s="39"/>
      <c r="I3" s="39"/>
      <c r="J3" s="39"/>
      <c r="K3" s="39"/>
      <c r="L3" s="39"/>
      <c r="M3" s="39"/>
      <c r="N3" s="39"/>
      <c r="O3" s="39"/>
    </row>
    <row r="5" spans="1:15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</row>
    <row r="6" spans="1:15" x14ac:dyDescent="0.3">
      <c r="A6">
        <v>1001</v>
      </c>
      <c r="B6" t="s">
        <v>24</v>
      </c>
      <c r="C6" t="s">
        <v>25</v>
      </c>
      <c r="D6" t="s">
        <v>26</v>
      </c>
      <c r="E6">
        <v>10</v>
      </c>
      <c r="F6">
        <v>50</v>
      </c>
      <c r="G6" s="22">
        <v>45296</v>
      </c>
    </row>
    <row r="7" spans="1:15" x14ac:dyDescent="0.3">
      <c r="A7">
        <v>1002</v>
      </c>
      <c r="B7" t="s">
        <v>27</v>
      </c>
      <c r="C7" t="s">
        <v>28</v>
      </c>
      <c r="D7" t="s">
        <v>29</v>
      </c>
      <c r="E7">
        <v>20</v>
      </c>
      <c r="F7">
        <v>10</v>
      </c>
      <c r="G7" s="22">
        <v>45297</v>
      </c>
    </row>
    <row r="8" spans="1:15" x14ac:dyDescent="0.3">
      <c r="A8">
        <v>1003</v>
      </c>
      <c r="B8" t="s">
        <v>30</v>
      </c>
      <c r="C8" t="s">
        <v>31</v>
      </c>
      <c r="D8" t="s">
        <v>32</v>
      </c>
      <c r="E8">
        <v>15</v>
      </c>
      <c r="F8">
        <v>25</v>
      </c>
      <c r="G8" s="22">
        <v>45298</v>
      </c>
    </row>
    <row r="9" spans="1:15" x14ac:dyDescent="0.3">
      <c r="A9">
        <v>1004</v>
      </c>
      <c r="B9" t="s">
        <v>33</v>
      </c>
      <c r="C9" t="s">
        <v>34</v>
      </c>
      <c r="D9" t="s">
        <v>26</v>
      </c>
      <c r="E9">
        <v>5</v>
      </c>
      <c r="F9">
        <v>50</v>
      </c>
      <c r="G9" s="22">
        <v>45299</v>
      </c>
    </row>
    <row r="10" spans="1:15" x14ac:dyDescent="0.3">
      <c r="A10">
        <v>1005</v>
      </c>
      <c r="B10" t="s">
        <v>35</v>
      </c>
      <c r="C10" t="s">
        <v>25</v>
      </c>
      <c r="D10" t="s">
        <v>36</v>
      </c>
      <c r="E10">
        <v>30</v>
      </c>
      <c r="F10">
        <v>5</v>
      </c>
      <c r="G10" s="22">
        <v>45301</v>
      </c>
    </row>
    <row r="11" spans="1:15" x14ac:dyDescent="0.3">
      <c r="A11">
        <v>1006</v>
      </c>
      <c r="B11" t="s">
        <v>37</v>
      </c>
      <c r="C11" t="s">
        <v>28</v>
      </c>
      <c r="D11" t="s">
        <v>26</v>
      </c>
      <c r="E11">
        <v>12</v>
      </c>
      <c r="F11">
        <v>50</v>
      </c>
      <c r="G11" s="22">
        <v>45302</v>
      </c>
    </row>
    <row r="12" spans="1:15" x14ac:dyDescent="0.3">
      <c r="A12">
        <v>1007</v>
      </c>
      <c r="B12" t="s">
        <v>38</v>
      </c>
      <c r="C12" t="s">
        <v>31</v>
      </c>
      <c r="D12" t="s">
        <v>39</v>
      </c>
      <c r="E12">
        <v>25</v>
      </c>
      <c r="F12">
        <v>8</v>
      </c>
      <c r="G12" s="22">
        <v>45304</v>
      </c>
    </row>
    <row r="13" spans="1:15" x14ac:dyDescent="0.3">
      <c r="A13">
        <v>1008</v>
      </c>
      <c r="B13" t="s">
        <v>40</v>
      </c>
      <c r="C13" t="s">
        <v>34</v>
      </c>
      <c r="D13" t="s">
        <v>29</v>
      </c>
      <c r="E13">
        <v>18</v>
      </c>
      <c r="F13">
        <v>10</v>
      </c>
      <c r="G13" s="22">
        <v>45306</v>
      </c>
    </row>
    <row r="14" spans="1:15" x14ac:dyDescent="0.3">
      <c r="A14">
        <v>1009</v>
      </c>
      <c r="B14" t="s">
        <v>41</v>
      </c>
      <c r="C14" t="s">
        <v>25</v>
      </c>
      <c r="D14" t="s">
        <v>32</v>
      </c>
      <c r="E14">
        <v>22</v>
      </c>
      <c r="F14">
        <v>25</v>
      </c>
      <c r="G14" s="22">
        <v>45308</v>
      </c>
    </row>
    <row r="15" spans="1:15" ht="15" thickBot="1" x14ac:dyDescent="0.35">
      <c r="A15">
        <v>1010</v>
      </c>
      <c r="B15" t="s">
        <v>42</v>
      </c>
      <c r="C15" t="s">
        <v>28</v>
      </c>
      <c r="D15" t="s">
        <v>26</v>
      </c>
      <c r="E15">
        <v>8</v>
      </c>
      <c r="F15">
        <v>50</v>
      </c>
      <c r="G15" s="22">
        <v>45309</v>
      </c>
    </row>
    <row r="16" spans="1:15" ht="16.2" thickBot="1" x14ac:dyDescent="0.35">
      <c r="A16">
        <v>1011</v>
      </c>
      <c r="B16" t="s">
        <v>43</v>
      </c>
      <c r="C16" t="s">
        <v>31</v>
      </c>
      <c r="D16" t="s">
        <v>36</v>
      </c>
      <c r="E16">
        <v>40</v>
      </c>
      <c r="F16">
        <v>5</v>
      </c>
      <c r="G16" s="22">
        <v>45310</v>
      </c>
      <c r="J16" s="43" t="s">
        <v>83</v>
      </c>
      <c r="K16" s="44"/>
      <c r="L16" s="44"/>
      <c r="M16" s="31">
        <f>COUNTA(B6:B56)</f>
        <v>50</v>
      </c>
    </row>
    <row r="17" spans="1:7" x14ac:dyDescent="0.3">
      <c r="A17">
        <v>1012</v>
      </c>
      <c r="B17" t="s">
        <v>44</v>
      </c>
      <c r="C17" t="s">
        <v>34</v>
      </c>
      <c r="D17" t="s">
        <v>39</v>
      </c>
      <c r="E17">
        <v>35</v>
      </c>
      <c r="F17">
        <v>8</v>
      </c>
      <c r="G17" s="22">
        <v>45311</v>
      </c>
    </row>
    <row r="18" spans="1:7" x14ac:dyDescent="0.3">
      <c r="A18">
        <v>1013</v>
      </c>
      <c r="B18" t="s">
        <v>45</v>
      </c>
      <c r="C18" t="s">
        <v>25</v>
      </c>
      <c r="D18" t="s">
        <v>26</v>
      </c>
      <c r="E18">
        <v>14</v>
      </c>
      <c r="F18">
        <v>50</v>
      </c>
      <c r="G18" s="22">
        <v>45313</v>
      </c>
    </row>
    <row r="19" spans="1:7" x14ac:dyDescent="0.3">
      <c r="A19">
        <v>1014</v>
      </c>
      <c r="B19" t="s">
        <v>46</v>
      </c>
      <c r="C19" t="s">
        <v>28</v>
      </c>
      <c r="D19" t="s">
        <v>29</v>
      </c>
      <c r="E19">
        <v>28</v>
      </c>
      <c r="F19">
        <v>10</v>
      </c>
      <c r="G19" s="22">
        <v>45314</v>
      </c>
    </row>
    <row r="20" spans="1:7" x14ac:dyDescent="0.3">
      <c r="A20">
        <v>1015</v>
      </c>
      <c r="B20" t="s">
        <v>47</v>
      </c>
      <c r="C20" t="s">
        <v>31</v>
      </c>
      <c r="D20" t="s">
        <v>32</v>
      </c>
      <c r="E20">
        <v>12</v>
      </c>
      <c r="F20">
        <v>25</v>
      </c>
      <c r="G20" s="22">
        <v>45315</v>
      </c>
    </row>
    <row r="21" spans="1:7" x14ac:dyDescent="0.3">
      <c r="A21">
        <v>1016</v>
      </c>
      <c r="B21" t="s">
        <v>48</v>
      </c>
      <c r="C21" t="s">
        <v>34</v>
      </c>
      <c r="D21" t="s">
        <v>36</v>
      </c>
      <c r="E21">
        <v>25</v>
      </c>
      <c r="F21">
        <v>5</v>
      </c>
      <c r="G21" s="22">
        <v>45317</v>
      </c>
    </row>
    <row r="22" spans="1:7" x14ac:dyDescent="0.3">
      <c r="A22">
        <v>1017</v>
      </c>
      <c r="B22" t="s">
        <v>49</v>
      </c>
      <c r="C22" t="s">
        <v>25</v>
      </c>
      <c r="D22" t="s">
        <v>39</v>
      </c>
      <c r="E22">
        <v>20</v>
      </c>
      <c r="F22">
        <v>8</v>
      </c>
      <c r="G22" s="22">
        <v>45319</v>
      </c>
    </row>
    <row r="23" spans="1:7" x14ac:dyDescent="0.3">
      <c r="A23">
        <v>1018</v>
      </c>
      <c r="B23" t="s">
        <v>50</v>
      </c>
      <c r="C23" t="s">
        <v>28</v>
      </c>
      <c r="D23" t="s">
        <v>26</v>
      </c>
      <c r="E23">
        <v>10</v>
      </c>
      <c r="F23">
        <v>50</v>
      </c>
      <c r="G23" s="22">
        <v>45320</v>
      </c>
    </row>
    <row r="24" spans="1:7" x14ac:dyDescent="0.3">
      <c r="A24">
        <v>1019</v>
      </c>
      <c r="B24" t="s">
        <v>51</v>
      </c>
      <c r="C24" t="s">
        <v>31</v>
      </c>
      <c r="D24" t="s">
        <v>29</v>
      </c>
      <c r="E24">
        <v>15</v>
      </c>
      <c r="F24">
        <v>10</v>
      </c>
      <c r="G24" s="22">
        <v>45321</v>
      </c>
    </row>
    <row r="25" spans="1:7" x14ac:dyDescent="0.3">
      <c r="A25">
        <v>1020</v>
      </c>
      <c r="B25" t="s">
        <v>52</v>
      </c>
      <c r="C25" t="s">
        <v>34</v>
      </c>
      <c r="D25" t="s">
        <v>32</v>
      </c>
      <c r="E25">
        <v>18</v>
      </c>
      <c r="F25">
        <v>25</v>
      </c>
      <c r="G25" s="22">
        <v>45323</v>
      </c>
    </row>
    <row r="26" spans="1:7" x14ac:dyDescent="0.3">
      <c r="A26">
        <v>1021</v>
      </c>
      <c r="B26" t="s">
        <v>53</v>
      </c>
      <c r="C26" t="s">
        <v>25</v>
      </c>
      <c r="D26" t="s">
        <v>26</v>
      </c>
      <c r="E26">
        <v>9</v>
      </c>
      <c r="F26">
        <v>50</v>
      </c>
      <c r="G26" s="22">
        <v>45324</v>
      </c>
    </row>
    <row r="27" spans="1:7" x14ac:dyDescent="0.3">
      <c r="A27">
        <v>1022</v>
      </c>
      <c r="B27" t="s">
        <v>54</v>
      </c>
      <c r="C27" t="s">
        <v>28</v>
      </c>
      <c r="D27" t="s">
        <v>36</v>
      </c>
      <c r="E27">
        <v>35</v>
      </c>
      <c r="F27">
        <v>5</v>
      </c>
      <c r="G27" s="22">
        <v>45325</v>
      </c>
    </row>
    <row r="28" spans="1:7" x14ac:dyDescent="0.3">
      <c r="A28">
        <v>1023</v>
      </c>
      <c r="B28" t="s">
        <v>55</v>
      </c>
      <c r="C28" t="s">
        <v>31</v>
      </c>
      <c r="D28" t="s">
        <v>39</v>
      </c>
      <c r="E28">
        <v>30</v>
      </c>
      <c r="F28">
        <v>8</v>
      </c>
      <c r="G28" s="22">
        <v>45326</v>
      </c>
    </row>
    <row r="29" spans="1:7" x14ac:dyDescent="0.3">
      <c r="A29">
        <v>1024</v>
      </c>
      <c r="B29" t="s">
        <v>56</v>
      </c>
      <c r="C29" t="s">
        <v>34</v>
      </c>
      <c r="D29" t="s">
        <v>26</v>
      </c>
      <c r="E29">
        <v>11</v>
      </c>
      <c r="F29">
        <v>50</v>
      </c>
      <c r="G29" s="22">
        <v>45328</v>
      </c>
    </row>
    <row r="30" spans="1:7" x14ac:dyDescent="0.3">
      <c r="A30">
        <v>1025</v>
      </c>
      <c r="B30" t="s">
        <v>57</v>
      </c>
      <c r="C30" t="s">
        <v>25</v>
      </c>
      <c r="D30" t="s">
        <v>29</v>
      </c>
      <c r="E30">
        <v>14</v>
      </c>
      <c r="F30">
        <v>10</v>
      </c>
      <c r="G30" s="22">
        <v>45329</v>
      </c>
    </row>
    <row r="31" spans="1:7" x14ac:dyDescent="0.3">
      <c r="A31">
        <v>1026</v>
      </c>
      <c r="B31" t="s">
        <v>58</v>
      </c>
      <c r="C31" t="s">
        <v>28</v>
      </c>
      <c r="D31" t="s">
        <v>32</v>
      </c>
      <c r="E31">
        <v>16</v>
      </c>
      <c r="F31">
        <v>25</v>
      </c>
      <c r="G31" s="22">
        <v>45330</v>
      </c>
    </row>
    <row r="32" spans="1:7" x14ac:dyDescent="0.3">
      <c r="A32">
        <v>1027</v>
      </c>
      <c r="B32" t="s">
        <v>59</v>
      </c>
      <c r="C32" t="s">
        <v>31</v>
      </c>
      <c r="D32" t="s">
        <v>36</v>
      </c>
      <c r="E32">
        <v>22</v>
      </c>
      <c r="F32">
        <v>5</v>
      </c>
      <c r="G32" s="22">
        <v>45331</v>
      </c>
    </row>
    <row r="33" spans="1:7" x14ac:dyDescent="0.3">
      <c r="A33">
        <v>1028</v>
      </c>
      <c r="B33" t="s">
        <v>60</v>
      </c>
      <c r="C33" t="s">
        <v>34</v>
      </c>
      <c r="D33" t="s">
        <v>39</v>
      </c>
      <c r="E33">
        <v>27</v>
      </c>
      <c r="F33">
        <v>8</v>
      </c>
      <c r="G33" s="22">
        <v>45332</v>
      </c>
    </row>
    <row r="34" spans="1:7" x14ac:dyDescent="0.3">
      <c r="A34">
        <v>1029</v>
      </c>
      <c r="B34" t="s">
        <v>61</v>
      </c>
      <c r="C34" t="s">
        <v>25</v>
      </c>
      <c r="D34" t="s">
        <v>26</v>
      </c>
      <c r="E34">
        <v>13</v>
      </c>
      <c r="F34">
        <v>50</v>
      </c>
      <c r="G34" s="22">
        <v>45334</v>
      </c>
    </row>
    <row r="35" spans="1:7" x14ac:dyDescent="0.3">
      <c r="A35">
        <v>1030</v>
      </c>
      <c r="B35" t="s">
        <v>62</v>
      </c>
      <c r="C35" t="s">
        <v>28</v>
      </c>
      <c r="D35" t="s">
        <v>29</v>
      </c>
      <c r="E35">
        <v>32</v>
      </c>
      <c r="F35">
        <v>10</v>
      </c>
      <c r="G35" s="22">
        <v>45335</v>
      </c>
    </row>
    <row r="36" spans="1:7" x14ac:dyDescent="0.3">
      <c r="A36">
        <v>1031</v>
      </c>
      <c r="B36" t="s">
        <v>63</v>
      </c>
      <c r="C36" t="s">
        <v>31</v>
      </c>
      <c r="D36" t="s">
        <v>32</v>
      </c>
      <c r="E36">
        <v>10</v>
      </c>
      <c r="F36">
        <v>25</v>
      </c>
      <c r="G36" s="22">
        <v>45336</v>
      </c>
    </row>
    <row r="37" spans="1:7" x14ac:dyDescent="0.3">
      <c r="A37">
        <v>1032</v>
      </c>
      <c r="B37" t="s">
        <v>64</v>
      </c>
      <c r="C37" t="s">
        <v>34</v>
      </c>
      <c r="D37" t="s">
        <v>36</v>
      </c>
      <c r="E37">
        <v>18</v>
      </c>
      <c r="F37">
        <v>5</v>
      </c>
      <c r="G37" s="22">
        <v>45338</v>
      </c>
    </row>
    <row r="38" spans="1:7" x14ac:dyDescent="0.3">
      <c r="A38">
        <v>1033</v>
      </c>
      <c r="B38" t="s">
        <v>65</v>
      </c>
      <c r="C38" t="s">
        <v>25</v>
      </c>
      <c r="D38" t="s">
        <v>39</v>
      </c>
      <c r="E38">
        <v>22</v>
      </c>
      <c r="F38">
        <v>8</v>
      </c>
      <c r="G38" s="22">
        <v>45339</v>
      </c>
    </row>
    <row r="39" spans="1:7" x14ac:dyDescent="0.3">
      <c r="A39">
        <v>1034</v>
      </c>
      <c r="B39" t="s">
        <v>66</v>
      </c>
      <c r="C39" t="s">
        <v>28</v>
      </c>
      <c r="D39" t="s">
        <v>26</v>
      </c>
      <c r="E39">
        <v>17</v>
      </c>
      <c r="F39">
        <v>50</v>
      </c>
      <c r="G39" s="22">
        <v>45340</v>
      </c>
    </row>
    <row r="40" spans="1:7" x14ac:dyDescent="0.3">
      <c r="A40">
        <v>1035</v>
      </c>
      <c r="B40" t="s">
        <v>67</v>
      </c>
      <c r="C40" t="s">
        <v>31</v>
      </c>
      <c r="D40" t="s">
        <v>29</v>
      </c>
      <c r="E40">
        <v>19</v>
      </c>
      <c r="F40">
        <v>10</v>
      </c>
      <c r="G40" s="22">
        <v>45341</v>
      </c>
    </row>
    <row r="41" spans="1:7" x14ac:dyDescent="0.3">
      <c r="A41">
        <v>1036</v>
      </c>
      <c r="B41" t="s">
        <v>68</v>
      </c>
      <c r="C41" t="s">
        <v>34</v>
      </c>
      <c r="D41" t="s">
        <v>32</v>
      </c>
      <c r="E41">
        <v>15</v>
      </c>
      <c r="F41">
        <v>25</v>
      </c>
      <c r="G41" s="22">
        <v>45343</v>
      </c>
    </row>
    <row r="42" spans="1:7" x14ac:dyDescent="0.3">
      <c r="A42">
        <v>1037</v>
      </c>
      <c r="B42" t="s">
        <v>69</v>
      </c>
      <c r="C42" t="s">
        <v>25</v>
      </c>
      <c r="D42" t="s">
        <v>36</v>
      </c>
      <c r="E42">
        <v>28</v>
      </c>
      <c r="F42">
        <v>5</v>
      </c>
      <c r="G42" s="22">
        <v>45344</v>
      </c>
    </row>
    <row r="43" spans="1:7" x14ac:dyDescent="0.3">
      <c r="A43">
        <v>1038</v>
      </c>
      <c r="B43" t="s">
        <v>70</v>
      </c>
      <c r="C43" t="s">
        <v>28</v>
      </c>
      <c r="D43" t="s">
        <v>39</v>
      </c>
      <c r="E43">
        <v>24</v>
      </c>
      <c r="F43">
        <v>8</v>
      </c>
      <c r="G43" s="22">
        <v>45345</v>
      </c>
    </row>
    <row r="44" spans="1:7" x14ac:dyDescent="0.3">
      <c r="A44">
        <v>1039</v>
      </c>
      <c r="B44" t="s">
        <v>71</v>
      </c>
      <c r="C44" t="s">
        <v>31</v>
      </c>
      <c r="D44" t="s">
        <v>26</v>
      </c>
      <c r="E44">
        <v>16</v>
      </c>
      <c r="F44">
        <v>50</v>
      </c>
      <c r="G44" s="22">
        <v>45347</v>
      </c>
    </row>
    <row r="45" spans="1:7" x14ac:dyDescent="0.3">
      <c r="A45">
        <v>1040</v>
      </c>
      <c r="B45" t="s">
        <v>72</v>
      </c>
      <c r="C45" t="s">
        <v>34</v>
      </c>
      <c r="D45" t="s">
        <v>29</v>
      </c>
      <c r="E45">
        <v>27</v>
      </c>
      <c r="F45">
        <v>10</v>
      </c>
      <c r="G45" s="22">
        <v>45348</v>
      </c>
    </row>
    <row r="46" spans="1:7" x14ac:dyDescent="0.3">
      <c r="A46">
        <v>1041</v>
      </c>
      <c r="B46" t="s">
        <v>73</v>
      </c>
      <c r="C46" t="s">
        <v>25</v>
      </c>
      <c r="D46" t="s">
        <v>32</v>
      </c>
      <c r="E46">
        <v>21</v>
      </c>
      <c r="F46">
        <v>25</v>
      </c>
      <c r="G46" s="22">
        <v>45349</v>
      </c>
    </row>
    <row r="47" spans="1:7" x14ac:dyDescent="0.3">
      <c r="A47">
        <v>1042</v>
      </c>
      <c r="B47" t="s">
        <v>74</v>
      </c>
      <c r="C47" t="s">
        <v>28</v>
      </c>
      <c r="D47" t="s">
        <v>36</v>
      </c>
      <c r="E47">
        <v>30</v>
      </c>
      <c r="F47">
        <v>5</v>
      </c>
      <c r="G47" s="22">
        <v>45350</v>
      </c>
    </row>
    <row r="48" spans="1:7" x14ac:dyDescent="0.3">
      <c r="A48">
        <v>1043</v>
      </c>
      <c r="B48" t="s">
        <v>75</v>
      </c>
      <c r="C48" t="s">
        <v>31</v>
      </c>
      <c r="D48" t="s">
        <v>39</v>
      </c>
      <c r="E48">
        <v>26</v>
      </c>
      <c r="F48">
        <v>8</v>
      </c>
      <c r="G48" s="22">
        <v>45352</v>
      </c>
    </row>
    <row r="49" spans="1:7" x14ac:dyDescent="0.3">
      <c r="A49">
        <v>1044</v>
      </c>
      <c r="B49" t="s">
        <v>76</v>
      </c>
      <c r="C49" t="s">
        <v>34</v>
      </c>
      <c r="D49" t="s">
        <v>26</v>
      </c>
      <c r="E49">
        <v>14</v>
      </c>
      <c r="F49">
        <v>50</v>
      </c>
      <c r="G49" s="22">
        <v>45353</v>
      </c>
    </row>
    <row r="50" spans="1:7" x14ac:dyDescent="0.3">
      <c r="A50">
        <v>1045</v>
      </c>
      <c r="B50" t="s">
        <v>77</v>
      </c>
      <c r="C50" t="s">
        <v>25</v>
      </c>
      <c r="D50" t="s">
        <v>29</v>
      </c>
      <c r="E50">
        <v>20</v>
      </c>
      <c r="F50">
        <v>10</v>
      </c>
      <c r="G50" s="22">
        <v>45354</v>
      </c>
    </row>
    <row r="51" spans="1:7" x14ac:dyDescent="0.3">
      <c r="A51">
        <v>1046</v>
      </c>
      <c r="B51" t="s">
        <v>78</v>
      </c>
      <c r="C51" t="s">
        <v>28</v>
      </c>
      <c r="D51" t="s">
        <v>32</v>
      </c>
      <c r="E51">
        <v>17</v>
      </c>
      <c r="F51">
        <v>25</v>
      </c>
      <c r="G51" s="22">
        <v>45355</v>
      </c>
    </row>
    <row r="52" spans="1:7" x14ac:dyDescent="0.3">
      <c r="A52">
        <v>1047</v>
      </c>
      <c r="B52" t="s">
        <v>79</v>
      </c>
      <c r="C52" t="s">
        <v>31</v>
      </c>
      <c r="D52" t="s">
        <v>36</v>
      </c>
      <c r="E52">
        <v>19</v>
      </c>
      <c r="F52">
        <v>5</v>
      </c>
      <c r="G52" s="22">
        <v>45356</v>
      </c>
    </row>
    <row r="53" spans="1:7" x14ac:dyDescent="0.3">
      <c r="A53">
        <v>1048</v>
      </c>
      <c r="B53" t="s">
        <v>80</v>
      </c>
      <c r="C53" t="s">
        <v>34</v>
      </c>
      <c r="D53" t="s">
        <v>39</v>
      </c>
      <c r="E53">
        <v>32</v>
      </c>
      <c r="F53">
        <v>8</v>
      </c>
      <c r="G53" s="22">
        <v>45357</v>
      </c>
    </row>
    <row r="54" spans="1:7" x14ac:dyDescent="0.3">
      <c r="A54">
        <v>1049</v>
      </c>
      <c r="B54" t="s">
        <v>81</v>
      </c>
      <c r="C54" t="s">
        <v>25</v>
      </c>
      <c r="D54" t="s">
        <v>26</v>
      </c>
      <c r="E54">
        <v>12</v>
      </c>
      <c r="F54">
        <v>50</v>
      </c>
      <c r="G54" s="22">
        <v>45358</v>
      </c>
    </row>
    <row r="55" spans="1:7" x14ac:dyDescent="0.3">
      <c r="A55">
        <v>1050</v>
      </c>
      <c r="B55" t="s">
        <v>82</v>
      </c>
      <c r="C55" t="s">
        <v>28</v>
      </c>
      <c r="D55" t="s">
        <v>29</v>
      </c>
      <c r="E55">
        <v>25</v>
      </c>
      <c r="F55">
        <v>10</v>
      </c>
      <c r="G55" s="22">
        <v>45359</v>
      </c>
    </row>
  </sheetData>
  <mergeCells count="2">
    <mergeCell ref="H2:O3"/>
    <mergeCell ref="J16:L16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48FA-6267-4C84-9AF9-A58E9AE9D2B2}">
  <dimension ref="A2:P59"/>
  <sheetViews>
    <sheetView workbookViewId="0">
      <selection activeCell="L17" sqref="L17"/>
    </sheetView>
  </sheetViews>
  <sheetFormatPr defaultRowHeight="14.4" x14ac:dyDescent="0.3"/>
  <cols>
    <col min="3" max="3" width="16.44140625" bestFit="1" customWidth="1"/>
    <col min="4" max="4" width="9" bestFit="1" customWidth="1"/>
    <col min="5" max="5" width="9.88671875" bestFit="1" customWidth="1"/>
    <col min="6" max="6" width="10.5546875" bestFit="1" customWidth="1"/>
    <col min="7" max="7" width="10.88671875" bestFit="1" customWidth="1"/>
    <col min="8" max="8" width="11.88671875" bestFit="1" customWidth="1"/>
    <col min="9" max="9" width="12.109375" style="32" bestFit="1" customWidth="1"/>
  </cols>
  <sheetData>
    <row r="2" spans="2:16" ht="18" customHeight="1" x14ac:dyDescent="0.3">
      <c r="I2" s="45" t="s">
        <v>89</v>
      </c>
      <c r="J2" s="45"/>
      <c r="K2" s="45"/>
      <c r="L2" s="45"/>
      <c r="M2" s="45"/>
      <c r="N2" s="45"/>
      <c r="O2" s="45"/>
      <c r="P2" s="45"/>
    </row>
    <row r="3" spans="2:16" x14ac:dyDescent="0.3">
      <c r="I3" s="45"/>
      <c r="J3" s="45"/>
      <c r="K3" s="45"/>
      <c r="L3" s="45"/>
      <c r="M3" s="45"/>
      <c r="N3" s="45"/>
      <c r="O3" s="45"/>
      <c r="P3" s="45"/>
    </row>
    <row r="8" spans="2:16" x14ac:dyDescent="0.3"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s="33" t="s">
        <v>84</v>
      </c>
    </row>
    <row r="9" spans="2:16" x14ac:dyDescent="0.3">
      <c r="B9">
        <v>1001</v>
      </c>
      <c r="C9" t="s">
        <v>24</v>
      </c>
      <c r="D9" t="s">
        <v>25</v>
      </c>
      <c r="E9" t="s">
        <v>26</v>
      </c>
      <c r="F9">
        <v>10</v>
      </c>
      <c r="G9">
        <v>50</v>
      </c>
      <c r="H9" s="22">
        <v>45296</v>
      </c>
      <c r="I9" s="32">
        <f>F9*G9</f>
        <v>500</v>
      </c>
    </row>
    <row r="10" spans="2:16" x14ac:dyDescent="0.3">
      <c r="B10">
        <v>1002</v>
      </c>
      <c r="C10" t="s">
        <v>27</v>
      </c>
      <c r="D10" t="s">
        <v>28</v>
      </c>
      <c r="E10" t="s">
        <v>29</v>
      </c>
      <c r="F10">
        <v>20</v>
      </c>
      <c r="G10">
        <v>10</v>
      </c>
      <c r="H10" s="22">
        <v>45297</v>
      </c>
      <c r="I10" s="32">
        <f>F10*G10</f>
        <v>200</v>
      </c>
    </row>
    <row r="11" spans="2:16" x14ac:dyDescent="0.3">
      <c r="B11">
        <v>1003</v>
      </c>
      <c r="C11" t="s">
        <v>30</v>
      </c>
      <c r="D11" t="s">
        <v>31</v>
      </c>
      <c r="E11" t="s">
        <v>32</v>
      </c>
      <c r="F11">
        <v>15</v>
      </c>
      <c r="G11">
        <v>25</v>
      </c>
      <c r="H11" s="22">
        <v>45298</v>
      </c>
      <c r="I11" s="32">
        <f>F11*G11</f>
        <v>375</v>
      </c>
    </row>
    <row r="12" spans="2:16" x14ac:dyDescent="0.3">
      <c r="B12">
        <v>1004</v>
      </c>
      <c r="C12" t="s">
        <v>33</v>
      </c>
      <c r="D12" t="s">
        <v>34</v>
      </c>
      <c r="E12" t="s">
        <v>26</v>
      </c>
      <c r="F12">
        <v>5</v>
      </c>
      <c r="G12">
        <v>50</v>
      </c>
      <c r="H12" s="22">
        <v>45299</v>
      </c>
      <c r="I12" s="32">
        <f t="shared" ref="I12:I58" si="0">F12*G12</f>
        <v>250</v>
      </c>
    </row>
    <row r="13" spans="2:16" x14ac:dyDescent="0.3">
      <c r="B13">
        <v>1005</v>
      </c>
      <c r="C13" t="s">
        <v>35</v>
      </c>
      <c r="D13" t="s">
        <v>25</v>
      </c>
      <c r="E13" t="s">
        <v>36</v>
      </c>
      <c r="F13">
        <v>30</v>
      </c>
      <c r="G13">
        <v>5</v>
      </c>
      <c r="H13" s="22">
        <v>45301</v>
      </c>
      <c r="I13" s="32">
        <f t="shared" si="0"/>
        <v>150</v>
      </c>
    </row>
    <row r="14" spans="2:16" x14ac:dyDescent="0.3">
      <c r="B14">
        <v>1006</v>
      </c>
      <c r="C14" t="s">
        <v>37</v>
      </c>
      <c r="D14" t="s">
        <v>28</v>
      </c>
      <c r="E14" t="s">
        <v>26</v>
      </c>
      <c r="F14">
        <v>12</v>
      </c>
      <c r="G14">
        <v>50</v>
      </c>
      <c r="H14" s="22">
        <v>45302</v>
      </c>
      <c r="I14" s="32">
        <f t="shared" si="0"/>
        <v>600</v>
      </c>
    </row>
    <row r="15" spans="2:16" x14ac:dyDescent="0.3">
      <c r="B15">
        <v>1007</v>
      </c>
      <c r="C15" t="s">
        <v>38</v>
      </c>
      <c r="D15" t="s">
        <v>31</v>
      </c>
      <c r="E15" t="s">
        <v>39</v>
      </c>
      <c r="F15">
        <v>25</v>
      </c>
      <c r="G15">
        <v>8</v>
      </c>
      <c r="H15" s="22">
        <v>45304</v>
      </c>
      <c r="I15" s="32">
        <f t="shared" si="0"/>
        <v>200</v>
      </c>
    </row>
    <row r="16" spans="2:16" x14ac:dyDescent="0.3">
      <c r="B16">
        <v>1008</v>
      </c>
      <c r="C16" t="s">
        <v>40</v>
      </c>
      <c r="D16" t="s">
        <v>34</v>
      </c>
      <c r="E16" t="s">
        <v>29</v>
      </c>
      <c r="F16">
        <v>18</v>
      </c>
      <c r="G16">
        <v>10</v>
      </c>
      <c r="H16" s="22">
        <v>45306</v>
      </c>
      <c r="I16" s="32">
        <f t="shared" si="0"/>
        <v>180</v>
      </c>
    </row>
    <row r="17" spans="2:9" x14ac:dyDescent="0.3">
      <c r="B17">
        <v>1009</v>
      </c>
      <c r="C17" t="s">
        <v>41</v>
      </c>
      <c r="D17" t="s">
        <v>25</v>
      </c>
      <c r="E17" t="s">
        <v>32</v>
      </c>
      <c r="F17">
        <v>22</v>
      </c>
      <c r="G17">
        <v>25</v>
      </c>
      <c r="H17" s="22">
        <v>45308</v>
      </c>
      <c r="I17" s="32">
        <f t="shared" si="0"/>
        <v>550</v>
      </c>
    </row>
    <row r="18" spans="2:9" x14ac:dyDescent="0.3">
      <c r="B18">
        <v>1010</v>
      </c>
      <c r="C18" t="s">
        <v>42</v>
      </c>
      <c r="D18" t="s">
        <v>28</v>
      </c>
      <c r="E18" t="s">
        <v>26</v>
      </c>
      <c r="F18">
        <v>8</v>
      </c>
      <c r="G18">
        <v>50</v>
      </c>
      <c r="H18" s="22">
        <v>45309</v>
      </c>
      <c r="I18" s="32">
        <f t="shared" si="0"/>
        <v>400</v>
      </c>
    </row>
    <row r="19" spans="2:9" x14ac:dyDescent="0.3">
      <c r="B19">
        <v>1011</v>
      </c>
      <c r="C19" t="s">
        <v>43</v>
      </c>
      <c r="D19" t="s">
        <v>31</v>
      </c>
      <c r="E19" t="s">
        <v>36</v>
      </c>
      <c r="F19">
        <v>40</v>
      </c>
      <c r="G19">
        <v>5</v>
      </c>
      <c r="H19" s="22">
        <v>45310</v>
      </c>
      <c r="I19" s="32">
        <f t="shared" si="0"/>
        <v>200</v>
      </c>
    </row>
    <row r="20" spans="2:9" x14ac:dyDescent="0.3">
      <c r="B20">
        <v>1012</v>
      </c>
      <c r="C20" t="s">
        <v>44</v>
      </c>
      <c r="D20" t="s">
        <v>34</v>
      </c>
      <c r="E20" t="s">
        <v>39</v>
      </c>
      <c r="F20">
        <v>35</v>
      </c>
      <c r="G20">
        <v>8</v>
      </c>
      <c r="H20" s="22">
        <v>45311</v>
      </c>
      <c r="I20" s="32">
        <f t="shared" si="0"/>
        <v>280</v>
      </c>
    </row>
    <row r="21" spans="2:9" x14ac:dyDescent="0.3">
      <c r="B21">
        <v>1013</v>
      </c>
      <c r="C21" t="s">
        <v>45</v>
      </c>
      <c r="D21" t="s">
        <v>25</v>
      </c>
      <c r="E21" t="s">
        <v>26</v>
      </c>
      <c r="F21">
        <v>14</v>
      </c>
      <c r="G21">
        <v>50</v>
      </c>
      <c r="H21" s="22">
        <v>45313</v>
      </c>
      <c r="I21" s="32">
        <f t="shared" si="0"/>
        <v>700</v>
      </c>
    </row>
    <row r="22" spans="2:9" x14ac:dyDescent="0.3">
      <c r="B22">
        <v>1014</v>
      </c>
      <c r="C22" t="s">
        <v>46</v>
      </c>
      <c r="D22" t="s">
        <v>28</v>
      </c>
      <c r="E22" t="s">
        <v>29</v>
      </c>
      <c r="F22">
        <v>28</v>
      </c>
      <c r="G22">
        <v>10</v>
      </c>
      <c r="H22" s="22">
        <v>45314</v>
      </c>
      <c r="I22" s="32">
        <f t="shared" si="0"/>
        <v>280</v>
      </c>
    </row>
    <row r="23" spans="2:9" x14ac:dyDescent="0.3">
      <c r="B23">
        <v>1015</v>
      </c>
      <c r="C23" t="s">
        <v>47</v>
      </c>
      <c r="D23" t="s">
        <v>31</v>
      </c>
      <c r="E23" t="s">
        <v>32</v>
      </c>
      <c r="F23">
        <v>12</v>
      </c>
      <c r="G23">
        <v>25</v>
      </c>
      <c r="H23" s="22">
        <v>45315</v>
      </c>
      <c r="I23" s="32">
        <f t="shared" si="0"/>
        <v>300</v>
      </c>
    </row>
    <row r="24" spans="2:9" x14ac:dyDescent="0.3">
      <c r="B24">
        <v>1016</v>
      </c>
      <c r="C24" t="s">
        <v>48</v>
      </c>
      <c r="D24" t="s">
        <v>34</v>
      </c>
      <c r="E24" t="s">
        <v>36</v>
      </c>
      <c r="F24">
        <v>25</v>
      </c>
      <c r="G24">
        <v>5</v>
      </c>
      <c r="H24" s="22">
        <v>45317</v>
      </c>
      <c r="I24" s="32">
        <f t="shared" si="0"/>
        <v>125</v>
      </c>
    </row>
    <row r="25" spans="2:9" x14ac:dyDescent="0.3">
      <c r="B25">
        <v>1017</v>
      </c>
      <c r="C25" t="s">
        <v>49</v>
      </c>
      <c r="D25" t="s">
        <v>25</v>
      </c>
      <c r="E25" t="s">
        <v>39</v>
      </c>
      <c r="F25">
        <v>20</v>
      </c>
      <c r="G25">
        <v>8</v>
      </c>
      <c r="H25" s="22">
        <v>45319</v>
      </c>
      <c r="I25" s="32">
        <f t="shared" si="0"/>
        <v>160</v>
      </c>
    </row>
    <row r="26" spans="2:9" x14ac:dyDescent="0.3">
      <c r="B26">
        <v>1018</v>
      </c>
      <c r="C26" t="s">
        <v>50</v>
      </c>
      <c r="D26" t="s">
        <v>28</v>
      </c>
      <c r="E26" t="s">
        <v>26</v>
      </c>
      <c r="F26">
        <v>10</v>
      </c>
      <c r="G26">
        <v>50</v>
      </c>
      <c r="H26" s="22">
        <v>45320</v>
      </c>
      <c r="I26" s="32">
        <f t="shared" si="0"/>
        <v>500</v>
      </c>
    </row>
    <row r="27" spans="2:9" x14ac:dyDescent="0.3">
      <c r="B27">
        <v>1019</v>
      </c>
      <c r="C27" t="s">
        <v>51</v>
      </c>
      <c r="D27" t="s">
        <v>31</v>
      </c>
      <c r="E27" t="s">
        <v>29</v>
      </c>
      <c r="F27">
        <v>15</v>
      </c>
      <c r="G27">
        <v>10</v>
      </c>
      <c r="H27" s="22">
        <v>45321</v>
      </c>
      <c r="I27" s="32">
        <f t="shared" si="0"/>
        <v>150</v>
      </c>
    </row>
    <row r="28" spans="2:9" x14ac:dyDescent="0.3">
      <c r="B28">
        <v>1020</v>
      </c>
      <c r="C28" t="s">
        <v>52</v>
      </c>
      <c r="D28" t="s">
        <v>34</v>
      </c>
      <c r="E28" t="s">
        <v>32</v>
      </c>
      <c r="F28">
        <v>18</v>
      </c>
      <c r="G28">
        <v>25</v>
      </c>
      <c r="H28" s="22">
        <v>45323</v>
      </c>
      <c r="I28" s="32">
        <f t="shared" si="0"/>
        <v>450</v>
      </c>
    </row>
    <row r="29" spans="2:9" x14ac:dyDescent="0.3">
      <c r="B29">
        <v>1021</v>
      </c>
      <c r="C29" t="s">
        <v>53</v>
      </c>
      <c r="D29" t="s">
        <v>25</v>
      </c>
      <c r="E29" t="s">
        <v>26</v>
      </c>
      <c r="F29">
        <v>9</v>
      </c>
      <c r="G29">
        <v>50</v>
      </c>
      <c r="H29" s="22">
        <v>45324</v>
      </c>
      <c r="I29" s="32">
        <f t="shared" si="0"/>
        <v>450</v>
      </c>
    </row>
    <row r="30" spans="2:9" x14ac:dyDescent="0.3">
      <c r="B30">
        <v>1022</v>
      </c>
      <c r="C30" t="s">
        <v>54</v>
      </c>
      <c r="D30" t="s">
        <v>28</v>
      </c>
      <c r="E30" t="s">
        <v>36</v>
      </c>
      <c r="F30">
        <v>35</v>
      </c>
      <c r="G30">
        <v>5</v>
      </c>
      <c r="H30" s="22">
        <v>45325</v>
      </c>
      <c r="I30" s="32">
        <f t="shared" si="0"/>
        <v>175</v>
      </c>
    </row>
    <row r="31" spans="2:9" x14ac:dyDescent="0.3">
      <c r="B31">
        <v>1023</v>
      </c>
      <c r="C31" t="s">
        <v>55</v>
      </c>
      <c r="D31" t="s">
        <v>31</v>
      </c>
      <c r="E31" t="s">
        <v>39</v>
      </c>
      <c r="F31">
        <v>30</v>
      </c>
      <c r="G31">
        <v>8</v>
      </c>
      <c r="H31" s="22">
        <v>45326</v>
      </c>
      <c r="I31" s="32">
        <f t="shared" si="0"/>
        <v>240</v>
      </c>
    </row>
    <row r="32" spans="2:9" x14ac:dyDescent="0.3">
      <c r="B32">
        <v>1024</v>
      </c>
      <c r="C32" t="s">
        <v>56</v>
      </c>
      <c r="D32" t="s">
        <v>34</v>
      </c>
      <c r="E32" t="s">
        <v>26</v>
      </c>
      <c r="F32">
        <v>11</v>
      </c>
      <c r="G32">
        <v>50</v>
      </c>
      <c r="H32" s="22">
        <v>45328</v>
      </c>
      <c r="I32" s="32">
        <f t="shared" si="0"/>
        <v>550</v>
      </c>
    </row>
    <row r="33" spans="2:9" x14ac:dyDescent="0.3">
      <c r="B33">
        <v>1025</v>
      </c>
      <c r="C33" t="s">
        <v>57</v>
      </c>
      <c r="D33" t="s">
        <v>25</v>
      </c>
      <c r="E33" t="s">
        <v>29</v>
      </c>
      <c r="F33">
        <v>14</v>
      </c>
      <c r="G33">
        <v>10</v>
      </c>
      <c r="H33" s="22">
        <v>45329</v>
      </c>
      <c r="I33" s="32">
        <f t="shared" si="0"/>
        <v>140</v>
      </c>
    </row>
    <row r="34" spans="2:9" x14ac:dyDescent="0.3">
      <c r="B34">
        <v>1026</v>
      </c>
      <c r="C34" t="s">
        <v>58</v>
      </c>
      <c r="D34" t="s">
        <v>28</v>
      </c>
      <c r="E34" t="s">
        <v>32</v>
      </c>
      <c r="F34">
        <v>16</v>
      </c>
      <c r="G34">
        <v>25</v>
      </c>
      <c r="H34" s="22">
        <v>45330</v>
      </c>
      <c r="I34" s="32">
        <f t="shared" si="0"/>
        <v>400</v>
      </c>
    </row>
    <row r="35" spans="2:9" x14ac:dyDescent="0.3">
      <c r="B35">
        <v>1027</v>
      </c>
      <c r="C35" t="s">
        <v>59</v>
      </c>
      <c r="D35" t="s">
        <v>31</v>
      </c>
      <c r="E35" t="s">
        <v>36</v>
      </c>
      <c r="F35">
        <v>22</v>
      </c>
      <c r="G35">
        <v>5</v>
      </c>
      <c r="H35" s="22">
        <v>45331</v>
      </c>
      <c r="I35" s="32">
        <f t="shared" si="0"/>
        <v>110</v>
      </c>
    </row>
    <row r="36" spans="2:9" x14ac:dyDescent="0.3">
      <c r="B36">
        <v>1028</v>
      </c>
      <c r="C36" t="s">
        <v>60</v>
      </c>
      <c r="D36" t="s">
        <v>34</v>
      </c>
      <c r="E36" t="s">
        <v>39</v>
      </c>
      <c r="F36">
        <v>27</v>
      </c>
      <c r="G36">
        <v>8</v>
      </c>
      <c r="H36" s="22">
        <v>45332</v>
      </c>
      <c r="I36" s="32">
        <f t="shared" si="0"/>
        <v>216</v>
      </c>
    </row>
    <row r="37" spans="2:9" x14ac:dyDescent="0.3">
      <c r="B37">
        <v>1029</v>
      </c>
      <c r="C37" t="s">
        <v>61</v>
      </c>
      <c r="D37" t="s">
        <v>25</v>
      </c>
      <c r="E37" t="s">
        <v>26</v>
      </c>
      <c r="F37">
        <v>13</v>
      </c>
      <c r="G37">
        <v>50</v>
      </c>
      <c r="H37" s="22">
        <v>45334</v>
      </c>
      <c r="I37" s="32">
        <f t="shared" si="0"/>
        <v>650</v>
      </c>
    </row>
    <row r="38" spans="2:9" x14ac:dyDescent="0.3">
      <c r="B38">
        <v>1030</v>
      </c>
      <c r="C38" t="s">
        <v>62</v>
      </c>
      <c r="D38" t="s">
        <v>28</v>
      </c>
      <c r="E38" t="s">
        <v>29</v>
      </c>
      <c r="F38">
        <v>32</v>
      </c>
      <c r="G38">
        <v>10</v>
      </c>
      <c r="H38" s="22">
        <v>45335</v>
      </c>
      <c r="I38" s="32">
        <f t="shared" si="0"/>
        <v>320</v>
      </c>
    </row>
    <row r="39" spans="2:9" x14ac:dyDescent="0.3">
      <c r="B39">
        <v>1031</v>
      </c>
      <c r="C39" t="s">
        <v>63</v>
      </c>
      <c r="D39" t="s">
        <v>31</v>
      </c>
      <c r="E39" t="s">
        <v>32</v>
      </c>
      <c r="F39">
        <v>10</v>
      </c>
      <c r="G39">
        <v>25</v>
      </c>
      <c r="H39" s="22">
        <v>45336</v>
      </c>
      <c r="I39" s="32">
        <f t="shared" si="0"/>
        <v>250</v>
      </c>
    </row>
    <row r="40" spans="2:9" x14ac:dyDescent="0.3">
      <c r="B40">
        <v>1032</v>
      </c>
      <c r="C40" t="s">
        <v>64</v>
      </c>
      <c r="D40" t="s">
        <v>34</v>
      </c>
      <c r="E40" t="s">
        <v>36</v>
      </c>
      <c r="F40">
        <v>18</v>
      </c>
      <c r="G40">
        <v>5</v>
      </c>
      <c r="H40" s="22">
        <v>45338</v>
      </c>
      <c r="I40" s="32">
        <f t="shared" si="0"/>
        <v>90</v>
      </c>
    </row>
    <row r="41" spans="2:9" x14ac:dyDescent="0.3">
      <c r="B41">
        <v>1033</v>
      </c>
      <c r="C41" t="s">
        <v>65</v>
      </c>
      <c r="D41" t="s">
        <v>25</v>
      </c>
      <c r="E41" t="s">
        <v>39</v>
      </c>
      <c r="F41">
        <v>22</v>
      </c>
      <c r="G41">
        <v>8</v>
      </c>
      <c r="H41" s="22">
        <v>45339</v>
      </c>
      <c r="I41" s="32">
        <f t="shared" si="0"/>
        <v>176</v>
      </c>
    </row>
    <row r="42" spans="2:9" x14ac:dyDescent="0.3">
      <c r="B42">
        <v>1034</v>
      </c>
      <c r="C42" t="s">
        <v>66</v>
      </c>
      <c r="D42" t="s">
        <v>28</v>
      </c>
      <c r="E42" t="s">
        <v>26</v>
      </c>
      <c r="F42">
        <v>17</v>
      </c>
      <c r="G42">
        <v>50</v>
      </c>
      <c r="H42" s="22">
        <v>45340</v>
      </c>
      <c r="I42" s="32">
        <f t="shared" si="0"/>
        <v>850</v>
      </c>
    </row>
    <row r="43" spans="2:9" x14ac:dyDescent="0.3">
      <c r="B43">
        <v>1035</v>
      </c>
      <c r="C43" t="s">
        <v>67</v>
      </c>
      <c r="D43" t="s">
        <v>31</v>
      </c>
      <c r="E43" t="s">
        <v>29</v>
      </c>
      <c r="F43">
        <v>19</v>
      </c>
      <c r="G43">
        <v>10</v>
      </c>
      <c r="H43" s="22">
        <v>45341</v>
      </c>
      <c r="I43" s="32">
        <f t="shared" si="0"/>
        <v>190</v>
      </c>
    </row>
    <row r="44" spans="2:9" x14ac:dyDescent="0.3">
      <c r="B44">
        <v>1036</v>
      </c>
      <c r="C44" t="s">
        <v>68</v>
      </c>
      <c r="D44" t="s">
        <v>34</v>
      </c>
      <c r="E44" t="s">
        <v>32</v>
      </c>
      <c r="F44">
        <v>15</v>
      </c>
      <c r="G44">
        <v>25</v>
      </c>
      <c r="H44" s="22">
        <v>45343</v>
      </c>
      <c r="I44" s="32">
        <f t="shared" si="0"/>
        <v>375</v>
      </c>
    </row>
    <row r="45" spans="2:9" x14ac:dyDescent="0.3">
      <c r="B45">
        <v>1037</v>
      </c>
      <c r="C45" t="s">
        <v>69</v>
      </c>
      <c r="D45" t="s">
        <v>25</v>
      </c>
      <c r="E45" t="s">
        <v>36</v>
      </c>
      <c r="F45">
        <v>28</v>
      </c>
      <c r="G45">
        <v>5</v>
      </c>
      <c r="H45" s="22">
        <v>45344</v>
      </c>
      <c r="I45" s="32">
        <f t="shared" si="0"/>
        <v>140</v>
      </c>
    </row>
    <row r="46" spans="2:9" x14ac:dyDescent="0.3">
      <c r="B46">
        <v>1038</v>
      </c>
      <c r="C46" t="s">
        <v>70</v>
      </c>
      <c r="D46" t="s">
        <v>28</v>
      </c>
      <c r="E46" t="s">
        <v>39</v>
      </c>
      <c r="F46">
        <v>24</v>
      </c>
      <c r="G46">
        <v>8</v>
      </c>
      <c r="H46" s="22">
        <v>45345</v>
      </c>
      <c r="I46" s="32">
        <f t="shared" si="0"/>
        <v>192</v>
      </c>
    </row>
    <row r="47" spans="2:9" x14ac:dyDescent="0.3">
      <c r="B47">
        <v>1039</v>
      </c>
      <c r="C47" t="s">
        <v>71</v>
      </c>
      <c r="D47" t="s">
        <v>31</v>
      </c>
      <c r="E47" t="s">
        <v>26</v>
      </c>
      <c r="F47">
        <v>16</v>
      </c>
      <c r="G47">
        <v>50</v>
      </c>
      <c r="H47" s="22">
        <v>45347</v>
      </c>
      <c r="I47" s="32">
        <f t="shared" si="0"/>
        <v>800</v>
      </c>
    </row>
    <row r="48" spans="2:9" x14ac:dyDescent="0.3">
      <c r="B48">
        <v>1040</v>
      </c>
      <c r="C48" t="s">
        <v>72</v>
      </c>
      <c r="D48" t="s">
        <v>34</v>
      </c>
      <c r="E48" t="s">
        <v>29</v>
      </c>
      <c r="F48">
        <v>27</v>
      </c>
      <c r="G48">
        <v>10</v>
      </c>
      <c r="H48" s="22">
        <v>45348</v>
      </c>
      <c r="I48" s="32">
        <f t="shared" si="0"/>
        <v>270</v>
      </c>
    </row>
    <row r="49" spans="1:9" x14ac:dyDescent="0.3">
      <c r="B49">
        <v>1041</v>
      </c>
      <c r="C49" t="s">
        <v>73</v>
      </c>
      <c r="D49" t="s">
        <v>25</v>
      </c>
      <c r="E49" t="s">
        <v>32</v>
      </c>
      <c r="F49">
        <v>21</v>
      </c>
      <c r="G49">
        <v>25</v>
      </c>
      <c r="H49" s="22">
        <v>45349</v>
      </c>
      <c r="I49" s="32">
        <f t="shared" si="0"/>
        <v>525</v>
      </c>
    </row>
    <row r="50" spans="1:9" x14ac:dyDescent="0.3">
      <c r="A50" s="25"/>
      <c r="B50">
        <v>1042</v>
      </c>
      <c r="C50" t="s">
        <v>74</v>
      </c>
      <c r="D50" t="s">
        <v>28</v>
      </c>
      <c r="E50" t="s">
        <v>36</v>
      </c>
      <c r="F50">
        <v>30</v>
      </c>
      <c r="G50">
        <v>5</v>
      </c>
      <c r="H50" s="22">
        <v>45350</v>
      </c>
      <c r="I50" s="32">
        <f t="shared" si="0"/>
        <v>150</v>
      </c>
    </row>
    <row r="51" spans="1:9" x14ac:dyDescent="0.3">
      <c r="A51" s="26"/>
      <c r="B51">
        <v>1043</v>
      </c>
      <c r="C51" t="s">
        <v>75</v>
      </c>
      <c r="D51" t="s">
        <v>31</v>
      </c>
      <c r="E51" t="s">
        <v>39</v>
      </c>
      <c r="F51">
        <v>26</v>
      </c>
      <c r="G51">
        <v>8</v>
      </c>
      <c r="H51" s="22">
        <v>45352</v>
      </c>
      <c r="I51" s="32">
        <f t="shared" si="0"/>
        <v>208</v>
      </c>
    </row>
    <row r="52" spans="1:9" x14ac:dyDescent="0.3">
      <c r="A52" s="25"/>
      <c r="B52">
        <v>1044</v>
      </c>
      <c r="C52" t="s">
        <v>76</v>
      </c>
      <c r="D52" t="s">
        <v>34</v>
      </c>
      <c r="E52" t="s">
        <v>26</v>
      </c>
      <c r="F52">
        <v>14</v>
      </c>
      <c r="G52">
        <v>50</v>
      </c>
      <c r="H52" s="22">
        <v>45353</v>
      </c>
      <c r="I52" s="32">
        <f t="shared" si="0"/>
        <v>700</v>
      </c>
    </row>
    <row r="53" spans="1:9" x14ac:dyDescent="0.3">
      <c r="A53" s="26"/>
      <c r="B53">
        <v>1045</v>
      </c>
      <c r="C53" t="s">
        <v>77</v>
      </c>
      <c r="D53" t="s">
        <v>25</v>
      </c>
      <c r="E53" t="s">
        <v>29</v>
      </c>
      <c r="F53">
        <v>20</v>
      </c>
      <c r="G53">
        <v>10</v>
      </c>
      <c r="H53" s="22">
        <v>45354</v>
      </c>
      <c r="I53" s="32">
        <f t="shared" si="0"/>
        <v>200</v>
      </c>
    </row>
    <row r="54" spans="1:9" x14ac:dyDescent="0.3">
      <c r="A54" s="25"/>
      <c r="B54">
        <v>1046</v>
      </c>
      <c r="C54" t="s">
        <v>78</v>
      </c>
      <c r="D54" t="s">
        <v>28</v>
      </c>
      <c r="E54" t="s">
        <v>32</v>
      </c>
      <c r="F54">
        <v>17</v>
      </c>
      <c r="G54">
        <v>25</v>
      </c>
      <c r="H54" s="22">
        <v>45355</v>
      </c>
      <c r="I54" s="32">
        <f t="shared" si="0"/>
        <v>425</v>
      </c>
    </row>
    <row r="55" spans="1:9" x14ac:dyDescent="0.3">
      <c r="A55" s="26"/>
      <c r="B55">
        <v>1047</v>
      </c>
      <c r="C55" t="s">
        <v>79</v>
      </c>
      <c r="D55" t="s">
        <v>31</v>
      </c>
      <c r="E55" t="s">
        <v>36</v>
      </c>
      <c r="F55">
        <v>19</v>
      </c>
      <c r="G55">
        <v>5</v>
      </c>
      <c r="H55" s="22">
        <v>45356</v>
      </c>
      <c r="I55" s="32">
        <f t="shared" si="0"/>
        <v>95</v>
      </c>
    </row>
    <row r="56" spans="1:9" x14ac:dyDescent="0.3">
      <c r="A56" s="25"/>
      <c r="B56">
        <v>1048</v>
      </c>
      <c r="C56" t="s">
        <v>80</v>
      </c>
      <c r="D56" t="s">
        <v>34</v>
      </c>
      <c r="E56" t="s">
        <v>39</v>
      </c>
      <c r="F56">
        <v>32</v>
      </c>
      <c r="G56">
        <v>8</v>
      </c>
      <c r="H56" s="22">
        <v>45357</v>
      </c>
      <c r="I56" s="32">
        <f t="shared" si="0"/>
        <v>256</v>
      </c>
    </row>
    <row r="57" spans="1:9" x14ac:dyDescent="0.3">
      <c r="A57" s="26"/>
      <c r="B57">
        <v>1049</v>
      </c>
      <c r="C57" t="s">
        <v>81</v>
      </c>
      <c r="D57" t="s">
        <v>25</v>
      </c>
      <c r="E57" t="s">
        <v>26</v>
      </c>
      <c r="F57">
        <v>12</v>
      </c>
      <c r="G57">
        <v>50</v>
      </c>
      <c r="H57" s="22">
        <v>45358</v>
      </c>
      <c r="I57" s="32">
        <f t="shared" si="0"/>
        <v>600</v>
      </c>
    </row>
    <row r="58" spans="1:9" x14ac:dyDescent="0.3">
      <c r="A58" s="25"/>
      <c r="B58">
        <v>1050</v>
      </c>
      <c r="C58" t="s">
        <v>82</v>
      </c>
      <c r="D58" t="s">
        <v>28</v>
      </c>
      <c r="E58" t="s">
        <v>29</v>
      </c>
      <c r="F58">
        <v>25</v>
      </c>
      <c r="G58">
        <v>10</v>
      </c>
      <c r="H58" s="22">
        <v>45359</v>
      </c>
      <c r="I58" s="32">
        <f t="shared" si="0"/>
        <v>250</v>
      </c>
    </row>
    <row r="59" spans="1:9" x14ac:dyDescent="0.3">
      <c r="A59" s="26"/>
      <c r="B59" s="27"/>
      <c r="C59" s="27"/>
      <c r="D59" s="27"/>
      <c r="E59" s="27"/>
      <c r="F59" s="27"/>
      <c r="G59" s="30"/>
    </row>
  </sheetData>
  <mergeCells count="1">
    <mergeCell ref="I2:P3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ACE6-F8BB-49BA-8A32-77F348D07346}">
  <dimension ref="A2:O56"/>
  <sheetViews>
    <sheetView workbookViewId="0">
      <selection activeCell="U23" sqref="U23"/>
    </sheetView>
  </sheetViews>
  <sheetFormatPr defaultRowHeight="14.4" x14ac:dyDescent="0.3"/>
  <cols>
    <col min="1" max="1" width="9.77734375" bestFit="1" customWidth="1"/>
    <col min="2" max="2" width="16.44140625" bestFit="1" customWidth="1"/>
    <col min="3" max="3" width="9" bestFit="1" customWidth="1"/>
    <col min="4" max="4" width="9.88671875" bestFit="1" customWidth="1"/>
    <col min="5" max="5" width="10.5546875" bestFit="1" customWidth="1"/>
    <col min="6" max="6" width="10.88671875" bestFit="1" customWidth="1"/>
    <col min="7" max="7" width="11.88671875" bestFit="1" customWidth="1"/>
    <col min="8" max="8" width="12.109375" bestFit="1" customWidth="1"/>
  </cols>
  <sheetData>
    <row r="2" spans="1:15" ht="18" customHeight="1" x14ac:dyDescent="0.3">
      <c r="G2" s="45" t="s">
        <v>90</v>
      </c>
      <c r="H2" s="45"/>
      <c r="I2" s="45"/>
      <c r="J2" s="45"/>
      <c r="K2" s="45"/>
      <c r="L2" s="45"/>
      <c r="M2" s="45"/>
      <c r="N2" s="45"/>
      <c r="O2" s="45"/>
    </row>
    <row r="3" spans="1:15" x14ac:dyDescent="0.3">
      <c r="G3" s="45"/>
      <c r="H3" s="45"/>
      <c r="I3" s="45"/>
      <c r="J3" s="45"/>
      <c r="K3" s="45"/>
      <c r="L3" s="45"/>
      <c r="M3" s="45"/>
      <c r="N3" s="45"/>
      <c r="O3" s="45"/>
    </row>
    <row r="6" spans="1:15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s="33" t="s">
        <v>84</v>
      </c>
    </row>
    <row r="7" spans="1:15" x14ac:dyDescent="0.3">
      <c r="A7">
        <v>1001</v>
      </c>
      <c r="B7" t="s">
        <v>24</v>
      </c>
      <c r="C7" t="s">
        <v>25</v>
      </c>
      <c r="D7" t="s">
        <v>26</v>
      </c>
      <c r="E7">
        <v>10</v>
      </c>
      <c r="F7">
        <v>50</v>
      </c>
      <c r="G7" s="22">
        <v>45296</v>
      </c>
      <c r="H7" s="32">
        <f>E7*F7</f>
        <v>500</v>
      </c>
    </row>
    <row r="8" spans="1:15" x14ac:dyDescent="0.3">
      <c r="A8">
        <v>1002</v>
      </c>
      <c r="B8" t="s">
        <v>27</v>
      </c>
      <c r="C8" t="s">
        <v>28</v>
      </c>
      <c r="D8" t="s">
        <v>29</v>
      </c>
      <c r="E8">
        <v>20</v>
      </c>
      <c r="F8">
        <v>10</v>
      </c>
      <c r="G8" s="22">
        <v>45297</v>
      </c>
      <c r="H8" s="32">
        <f>E8*F8</f>
        <v>200</v>
      </c>
    </row>
    <row r="9" spans="1:15" x14ac:dyDescent="0.3">
      <c r="A9">
        <v>1003</v>
      </c>
      <c r="B9" t="s">
        <v>30</v>
      </c>
      <c r="C9" t="s">
        <v>31</v>
      </c>
      <c r="D9" t="s">
        <v>32</v>
      </c>
      <c r="E9">
        <v>15</v>
      </c>
      <c r="F9">
        <v>25</v>
      </c>
      <c r="G9" s="22">
        <v>45298</v>
      </c>
      <c r="H9" s="32">
        <f>E9*F9</f>
        <v>375</v>
      </c>
    </row>
    <row r="10" spans="1:15" x14ac:dyDescent="0.3">
      <c r="A10">
        <v>1004</v>
      </c>
      <c r="B10" t="s">
        <v>33</v>
      </c>
      <c r="C10" t="s">
        <v>34</v>
      </c>
      <c r="D10" t="s">
        <v>26</v>
      </c>
      <c r="E10">
        <v>5</v>
      </c>
      <c r="F10">
        <v>50</v>
      </c>
      <c r="G10" s="22">
        <v>45299</v>
      </c>
      <c r="H10" s="32">
        <f t="shared" ref="H10:H56" si="0">E10*F10</f>
        <v>250</v>
      </c>
    </row>
    <row r="11" spans="1:15" x14ac:dyDescent="0.3">
      <c r="A11">
        <v>1005</v>
      </c>
      <c r="B11" t="s">
        <v>35</v>
      </c>
      <c r="C11" t="s">
        <v>25</v>
      </c>
      <c r="D11" t="s">
        <v>36</v>
      </c>
      <c r="E11">
        <v>30</v>
      </c>
      <c r="F11">
        <v>5</v>
      </c>
      <c r="G11" s="22">
        <v>45301</v>
      </c>
      <c r="H11" s="32">
        <f t="shared" si="0"/>
        <v>150</v>
      </c>
    </row>
    <row r="12" spans="1:15" x14ac:dyDescent="0.3">
      <c r="A12">
        <v>1006</v>
      </c>
      <c r="B12" t="s">
        <v>37</v>
      </c>
      <c r="C12" t="s">
        <v>28</v>
      </c>
      <c r="D12" t="s">
        <v>26</v>
      </c>
      <c r="E12">
        <v>12</v>
      </c>
      <c r="F12">
        <v>50</v>
      </c>
      <c r="G12" s="22">
        <v>45302</v>
      </c>
      <c r="H12" s="32">
        <f t="shared" si="0"/>
        <v>600</v>
      </c>
    </row>
    <row r="13" spans="1:15" x14ac:dyDescent="0.3">
      <c r="A13">
        <v>1007</v>
      </c>
      <c r="B13" t="s">
        <v>38</v>
      </c>
      <c r="C13" t="s">
        <v>31</v>
      </c>
      <c r="D13" t="s">
        <v>39</v>
      </c>
      <c r="E13">
        <v>25</v>
      </c>
      <c r="F13">
        <v>8</v>
      </c>
      <c r="G13" s="22">
        <v>45304</v>
      </c>
      <c r="H13" s="32">
        <f t="shared" si="0"/>
        <v>200</v>
      </c>
    </row>
    <row r="14" spans="1:15" x14ac:dyDescent="0.3">
      <c r="A14">
        <v>1008</v>
      </c>
      <c r="B14" t="s">
        <v>40</v>
      </c>
      <c r="C14" t="s">
        <v>34</v>
      </c>
      <c r="D14" t="s">
        <v>29</v>
      </c>
      <c r="E14">
        <v>18</v>
      </c>
      <c r="F14">
        <v>10</v>
      </c>
      <c r="G14" s="22">
        <v>45306</v>
      </c>
      <c r="H14" s="32">
        <f t="shared" si="0"/>
        <v>180</v>
      </c>
    </row>
    <row r="15" spans="1:15" x14ac:dyDescent="0.3">
      <c r="A15">
        <v>1009</v>
      </c>
      <c r="B15" t="s">
        <v>41</v>
      </c>
      <c r="C15" t="s">
        <v>25</v>
      </c>
      <c r="D15" t="s">
        <v>32</v>
      </c>
      <c r="E15">
        <v>22</v>
      </c>
      <c r="F15">
        <v>25</v>
      </c>
      <c r="G15" s="22">
        <v>45308</v>
      </c>
      <c r="H15" s="32">
        <f t="shared" si="0"/>
        <v>550</v>
      </c>
    </row>
    <row r="16" spans="1:15" ht="15" thickBot="1" x14ac:dyDescent="0.35">
      <c r="A16">
        <v>1010</v>
      </c>
      <c r="B16" t="s">
        <v>42</v>
      </c>
      <c r="C16" t="s">
        <v>28</v>
      </c>
      <c r="D16" t="s">
        <v>26</v>
      </c>
      <c r="E16">
        <v>8</v>
      </c>
      <c r="F16">
        <v>50</v>
      </c>
      <c r="G16" s="22">
        <v>45309</v>
      </c>
      <c r="H16" s="32">
        <f t="shared" si="0"/>
        <v>400</v>
      </c>
    </row>
    <row r="17" spans="1:15" ht="16.2" thickBot="1" x14ac:dyDescent="0.35">
      <c r="A17">
        <v>1011</v>
      </c>
      <c r="B17" t="s">
        <v>43</v>
      </c>
      <c r="C17" t="s">
        <v>31</v>
      </c>
      <c r="D17" t="s">
        <v>36</v>
      </c>
      <c r="E17">
        <v>40</v>
      </c>
      <c r="F17">
        <v>5</v>
      </c>
      <c r="G17" s="22">
        <v>45310</v>
      </c>
      <c r="H17" s="32">
        <f t="shared" si="0"/>
        <v>200</v>
      </c>
      <c r="J17" s="46" t="s">
        <v>85</v>
      </c>
      <c r="K17" s="46"/>
      <c r="L17" s="46"/>
      <c r="M17" s="46"/>
      <c r="N17" s="46"/>
      <c r="O17" s="34">
        <f>SUMIFS(H7:H56,D7:D56,"Notebook",C7:C56,"North")</f>
        <v>2900</v>
      </c>
    </row>
    <row r="18" spans="1:15" x14ac:dyDescent="0.3">
      <c r="A18">
        <v>1012</v>
      </c>
      <c r="B18" t="s">
        <v>44</v>
      </c>
      <c r="C18" t="s">
        <v>34</v>
      </c>
      <c r="D18" t="s">
        <v>39</v>
      </c>
      <c r="E18">
        <v>35</v>
      </c>
      <c r="F18">
        <v>8</v>
      </c>
      <c r="G18" s="22">
        <v>45311</v>
      </c>
      <c r="H18" s="32">
        <f t="shared" si="0"/>
        <v>280</v>
      </c>
    </row>
    <row r="19" spans="1:15" x14ac:dyDescent="0.3">
      <c r="A19">
        <v>1013</v>
      </c>
      <c r="B19" t="s">
        <v>45</v>
      </c>
      <c r="C19" t="s">
        <v>25</v>
      </c>
      <c r="D19" t="s">
        <v>26</v>
      </c>
      <c r="E19">
        <v>14</v>
      </c>
      <c r="F19">
        <v>50</v>
      </c>
      <c r="G19" s="22">
        <v>45313</v>
      </c>
      <c r="H19" s="32">
        <f t="shared" si="0"/>
        <v>700</v>
      </c>
    </row>
    <row r="20" spans="1:15" x14ac:dyDescent="0.3">
      <c r="A20">
        <v>1014</v>
      </c>
      <c r="B20" t="s">
        <v>46</v>
      </c>
      <c r="C20" t="s">
        <v>28</v>
      </c>
      <c r="D20" t="s">
        <v>29</v>
      </c>
      <c r="E20">
        <v>28</v>
      </c>
      <c r="F20">
        <v>10</v>
      </c>
      <c r="G20" s="22">
        <v>45314</v>
      </c>
      <c r="H20" s="32">
        <f t="shared" si="0"/>
        <v>280</v>
      </c>
    </row>
    <row r="21" spans="1:15" x14ac:dyDescent="0.3">
      <c r="A21">
        <v>1015</v>
      </c>
      <c r="B21" t="s">
        <v>47</v>
      </c>
      <c r="C21" t="s">
        <v>31</v>
      </c>
      <c r="D21" t="s">
        <v>32</v>
      </c>
      <c r="E21">
        <v>12</v>
      </c>
      <c r="F21">
        <v>25</v>
      </c>
      <c r="G21" s="22">
        <v>45315</v>
      </c>
      <c r="H21" s="32">
        <f t="shared" si="0"/>
        <v>300</v>
      </c>
    </row>
    <row r="22" spans="1:15" x14ac:dyDescent="0.3">
      <c r="A22">
        <v>1016</v>
      </c>
      <c r="B22" t="s">
        <v>48</v>
      </c>
      <c r="C22" t="s">
        <v>34</v>
      </c>
      <c r="D22" t="s">
        <v>36</v>
      </c>
      <c r="E22">
        <v>25</v>
      </c>
      <c r="F22">
        <v>5</v>
      </c>
      <c r="G22" s="22">
        <v>45317</v>
      </c>
      <c r="H22" s="32">
        <f t="shared" si="0"/>
        <v>125</v>
      </c>
    </row>
    <row r="23" spans="1:15" x14ac:dyDescent="0.3">
      <c r="A23">
        <v>1017</v>
      </c>
      <c r="B23" t="s">
        <v>49</v>
      </c>
      <c r="C23" t="s">
        <v>25</v>
      </c>
      <c r="D23" t="s">
        <v>39</v>
      </c>
      <c r="E23">
        <v>20</v>
      </c>
      <c r="F23">
        <v>8</v>
      </c>
      <c r="G23" s="22">
        <v>45319</v>
      </c>
      <c r="H23" s="32">
        <f t="shared" si="0"/>
        <v>160</v>
      </c>
    </row>
    <row r="24" spans="1:15" x14ac:dyDescent="0.3">
      <c r="A24">
        <v>1018</v>
      </c>
      <c r="B24" t="s">
        <v>50</v>
      </c>
      <c r="C24" t="s">
        <v>28</v>
      </c>
      <c r="D24" t="s">
        <v>26</v>
      </c>
      <c r="E24">
        <v>10</v>
      </c>
      <c r="F24">
        <v>50</v>
      </c>
      <c r="G24" s="22">
        <v>45320</v>
      </c>
      <c r="H24" s="32">
        <f t="shared" si="0"/>
        <v>500</v>
      </c>
    </row>
    <row r="25" spans="1:15" x14ac:dyDescent="0.3">
      <c r="A25">
        <v>1019</v>
      </c>
      <c r="B25" t="s">
        <v>51</v>
      </c>
      <c r="C25" t="s">
        <v>31</v>
      </c>
      <c r="D25" t="s">
        <v>29</v>
      </c>
      <c r="E25">
        <v>15</v>
      </c>
      <c r="F25">
        <v>10</v>
      </c>
      <c r="G25" s="22">
        <v>45321</v>
      </c>
      <c r="H25" s="32">
        <f t="shared" si="0"/>
        <v>150</v>
      </c>
    </row>
    <row r="26" spans="1:15" x14ac:dyDescent="0.3">
      <c r="A26">
        <v>1020</v>
      </c>
      <c r="B26" t="s">
        <v>52</v>
      </c>
      <c r="C26" t="s">
        <v>34</v>
      </c>
      <c r="D26" t="s">
        <v>32</v>
      </c>
      <c r="E26">
        <v>18</v>
      </c>
      <c r="F26">
        <v>25</v>
      </c>
      <c r="G26" s="22">
        <v>45323</v>
      </c>
      <c r="H26" s="32">
        <f t="shared" si="0"/>
        <v>450</v>
      </c>
    </row>
    <row r="27" spans="1:15" x14ac:dyDescent="0.3">
      <c r="A27">
        <v>1021</v>
      </c>
      <c r="B27" t="s">
        <v>53</v>
      </c>
      <c r="C27" t="s">
        <v>25</v>
      </c>
      <c r="D27" t="s">
        <v>26</v>
      </c>
      <c r="E27">
        <v>9</v>
      </c>
      <c r="F27">
        <v>50</v>
      </c>
      <c r="G27" s="22">
        <v>45324</v>
      </c>
      <c r="H27" s="32">
        <f t="shared" si="0"/>
        <v>450</v>
      </c>
    </row>
    <row r="28" spans="1:15" x14ac:dyDescent="0.3">
      <c r="A28">
        <v>1022</v>
      </c>
      <c r="B28" t="s">
        <v>54</v>
      </c>
      <c r="C28" t="s">
        <v>28</v>
      </c>
      <c r="D28" t="s">
        <v>36</v>
      </c>
      <c r="E28">
        <v>35</v>
      </c>
      <c r="F28">
        <v>5</v>
      </c>
      <c r="G28" s="22">
        <v>45325</v>
      </c>
      <c r="H28" s="32">
        <f t="shared" si="0"/>
        <v>175</v>
      </c>
    </row>
    <row r="29" spans="1:15" x14ac:dyDescent="0.3">
      <c r="A29">
        <v>1023</v>
      </c>
      <c r="B29" t="s">
        <v>55</v>
      </c>
      <c r="C29" t="s">
        <v>31</v>
      </c>
      <c r="D29" t="s">
        <v>39</v>
      </c>
      <c r="E29">
        <v>30</v>
      </c>
      <c r="F29">
        <v>8</v>
      </c>
      <c r="G29" s="22">
        <v>45326</v>
      </c>
      <c r="H29" s="32">
        <f t="shared" si="0"/>
        <v>240</v>
      </c>
    </row>
    <row r="30" spans="1:15" x14ac:dyDescent="0.3">
      <c r="A30">
        <v>1024</v>
      </c>
      <c r="B30" t="s">
        <v>56</v>
      </c>
      <c r="C30" t="s">
        <v>34</v>
      </c>
      <c r="D30" t="s">
        <v>26</v>
      </c>
      <c r="E30">
        <v>11</v>
      </c>
      <c r="F30">
        <v>50</v>
      </c>
      <c r="G30" s="22">
        <v>45328</v>
      </c>
      <c r="H30" s="32">
        <f t="shared" si="0"/>
        <v>550</v>
      </c>
    </row>
    <row r="31" spans="1:15" x14ac:dyDescent="0.3">
      <c r="A31">
        <v>1025</v>
      </c>
      <c r="B31" t="s">
        <v>57</v>
      </c>
      <c r="C31" t="s">
        <v>25</v>
      </c>
      <c r="D31" t="s">
        <v>29</v>
      </c>
      <c r="E31">
        <v>14</v>
      </c>
      <c r="F31">
        <v>10</v>
      </c>
      <c r="G31" s="22">
        <v>45329</v>
      </c>
      <c r="H31" s="32">
        <f t="shared" si="0"/>
        <v>140</v>
      </c>
    </row>
    <row r="32" spans="1:15" x14ac:dyDescent="0.3">
      <c r="A32">
        <v>1026</v>
      </c>
      <c r="B32" t="s">
        <v>58</v>
      </c>
      <c r="C32" t="s">
        <v>28</v>
      </c>
      <c r="D32" t="s">
        <v>32</v>
      </c>
      <c r="E32">
        <v>16</v>
      </c>
      <c r="F32">
        <v>25</v>
      </c>
      <c r="G32" s="22">
        <v>45330</v>
      </c>
      <c r="H32" s="32">
        <f t="shared" si="0"/>
        <v>400</v>
      </c>
    </row>
    <row r="33" spans="1:8" x14ac:dyDescent="0.3">
      <c r="A33">
        <v>1027</v>
      </c>
      <c r="B33" t="s">
        <v>59</v>
      </c>
      <c r="C33" t="s">
        <v>31</v>
      </c>
      <c r="D33" t="s">
        <v>36</v>
      </c>
      <c r="E33">
        <v>22</v>
      </c>
      <c r="F33">
        <v>5</v>
      </c>
      <c r="G33" s="22">
        <v>45331</v>
      </c>
      <c r="H33" s="32">
        <f t="shared" si="0"/>
        <v>110</v>
      </c>
    </row>
    <row r="34" spans="1:8" x14ac:dyDescent="0.3">
      <c r="A34">
        <v>1028</v>
      </c>
      <c r="B34" t="s">
        <v>60</v>
      </c>
      <c r="C34" t="s">
        <v>34</v>
      </c>
      <c r="D34" t="s">
        <v>39</v>
      </c>
      <c r="E34">
        <v>27</v>
      </c>
      <c r="F34">
        <v>8</v>
      </c>
      <c r="G34" s="22">
        <v>45332</v>
      </c>
      <c r="H34" s="32">
        <f t="shared" si="0"/>
        <v>216</v>
      </c>
    </row>
    <row r="35" spans="1:8" x14ac:dyDescent="0.3">
      <c r="A35">
        <v>1029</v>
      </c>
      <c r="B35" t="s">
        <v>61</v>
      </c>
      <c r="C35" t="s">
        <v>25</v>
      </c>
      <c r="D35" t="s">
        <v>26</v>
      </c>
      <c r="E35">
        <v>13</v>
      </c>
      <c r="F35">
        <v>50</v>
      </c>
      <c r="G35" s="22">
        <v>45334</v>
      </c>
      <c r="H35" s="32">
        <f t="shared" si="0"/>
        <v>650</v>
      </c>
    </row>
    <row r="36" spans="1:8" x14ac:dyDescent="0.3">
      <c r="A36">
        <v>1030</v>
      </c>
      <c r="B36" t="s">
        <v>62</v>
      </c>
      <c r="C36" t="s">
        <v>28</v>
      </c>
      <c r="D36" t="s">
        <v>29</v>
      </c>
      <c r="E36">
        <v>32</v>
      </c>
      <c r="F36">
        <v>10</v>
      </c>
      <c r="G36" s="22">
        <v>45335</v>
      </c>
      <c r="H36" s="32">
        <f t="shared" si="0"/>
        <v>320</v>
      </c>
    </row>
    <row r="37" spans="1:8" x14ac:dyDescent="0.3">
      <c r="A37">
        <v>1031</v>
      </c>
      <c r="B37" t="s">
        <v>63</v>
      </c>
      <c r="C37" t="s">
        <v>31</v>
      </c>
      <c r="D37" t="s">
        <v>32</v>
      </c>
      <c r="E37">
        <v>10</v>
      </c>
      <c r="F37">
        <v>25</v>
      </c>
      <c r="G37" s="22">
        <v>45336</v>
      </c>
      <c r="H37" s="32">
        <f t="shared" si="0"/>
        <v>250</v>
      </c>
    </row>
    <row r="38" spans="1:8" x14ac:dyDescent="0.3">
      <c r="A38">
        <v>1032</v>
      </c>
      <c r="B38" t="s">
        <v>64</v>
      </c>
      <c r="C38" t="s">
        <v>34</v>
      </c>
      <c r="D38" t="s">
        <v>36</v>
      </c>
      <c r="E38">
        <v>18</v>
      </c>
      <c r="F38">
        <v>5</v>
      </c>
      <c r="G38" s="22">
        <v>45338</v>
      </c>
      <c r="H38" s="32">
        <f t="shared" si="0"/>
        <v>90</v>
      </c>
    </row>
    <row r="39" spans="1:8" x14ac:dyDescent="0.3">
      <c r="A39">
        <v>1033</v>
      </c>
      <c r="B39" t="s">
        <v>65</v>
      </c>
      <c r="C39" t="s">
        <v>25</v>
      </c>
      <c r="D39" t="s">
        <v>39</v>
      </c>
      <c r="E39">
        <v>22</v>
      </c>
      <c r="F39">
        <v>8</v>
      </c>
      <c r="G39" s="22">
        <v>45339</v>
      </c>
      <c r="H39" s="32">
        <f t="shared" si="0"/>
        <v>176</v>
      </c>
    </row>
    <row r="40" spans="1:8" x14ac:dyDescent="0.3">
      <c r="A40">
        <v>1034</v>
      </c>
      <c r="B40" t="s">
        <v>66</v>
      </c>
      <c r="C40" t="s">
        <v>28</v>
      </c>
      <c r="D40" t="s">
        <v>26</v>
      </c>
      <c r="E40">
        <v>17</v>
      </c>
      <c r="F40">
        <v>50</v>
      </c>
      <c r="G40" s="22">
        <v>45340</v>
      </c>
      <c r="H40" s="32">
        <f t="shared" si="0"/>
        <v>850</v>
      </c>
    </row>
    <row r="41" spans="1:8" x14ac:dyDescent="0.3">
      <c r="A41">
        <v>1035</v>
      </c>
      <c r="B41" t="s">
        <v>67</v>
      </c>
      <c r="C41" t="s">
        <v>31</v>
      </c>
      <c r="D41" t="s">
        <v>29</v>
      </c>
      <c r="E41">
        <v>19</v>
      </c>
      <c r="F41">
        <v>10</v>
      </c>
      <c r="G41" s="22">
        <v>45341</v>
      </c>
      <c r="H41" s="32">
        <f t="shared" si="0"/>
        <v>190</v>
      </c>
    </row>
    <row r="42" spans="1:8" x14ac:dyDescent="0.3">
      <c r="A42">
        <v>1036</v>
      </c>
      <c r="B42" t="s">
        <v>68</v>
      </c>
      <c r="C42" t="s">
        <v>34</v>
      </c>
      <c r="D42" t="s">
        <v>32</v>
      </c>
      <c r="E42">
        <v>15</v>
      </c>
      <c r="F42">
        <v>25</v>
      </c>
      <c r="G42" s="22">
        <v>45343</v>
      </c>
      <c r="H42" s="32">
        <f t="shared" si="0"/>
        <v>375</v>
      </c>
    </row>
    <row r="43" spans="1:8" x14ac:dyDescent="0.3">
      <c r="A43">
        <v>1037</v>
      </c>
      <c r="B43" t="s">
        <v>69</v>
      </c>
      <c r="C43" t="s">
        <v>25</v>
      </c>
      <c r="D43" t="s">
        <v>36</v>
      </c>
      <c r="E43">
        <v>28</v>
      </c>
      <c r="F43">
        <v>5</v>
      </c>
      <c r="G43" s="22">
        <v>45344</v>
      </c>
      <c r="H43" s="32">
        <f t="shared" si="0"/>
        <v>140</v>
      </c>
    </row>
    <row r="44" spans="1:8" x14ac:dyDescent="0.3">
      <c r="A44">
        <v>1038</v>
      </c>
      <c r="B44" t="s">
        <v>70</v>
      </c>
      <c r="C44" t="s">
        <v>28</v>
      </c>
      <c r="D44" t="s">
        <v>39</v>
      </c>
      <c r="E44">
        <v>24</v>
      </c>
      <c r="F44">
        <v>8</v>
      </c>
      <c r="G44" s="22">
        <v>45345</v>
      </c>
      <c r="H44" s="32">
        <f t="shared" si="0"/>
        <v>192</v>
      </c>
    </row>
    <row r="45" spans="1:8" x14ac:dyDescent="0.3">
      <c r="A45">
        <v>1039</v>
      </c>
      <c r="B45" t="s">
        <v>71</v>
      </c>
      <c r="C45" t="s">
        <v>31</v>
      </c>
      <c r="D45" t="s">
        <v>26</v>
      </c>
      <c r="E45">
        <v>16</v>
      </c>
      <c r="F45">
        <v>50</v>
      </c>
      <c r="G45" s="22">
        <v>45347</v>
      </c>
      <c r="H45" s="32">
        <f t="shared" si="0"/>
        <v>800</v>
      </c>
    </row>
    <row r="46" spans="1:8" x14ac:dyDescent="0.3">
      <c r="A46">
        <v>1040</v>
      </c>
      <c r="B46" t="s">
        <v>72</v>
      </c>
      <c r="C46" t="s">
        <v>34</v>
      </c>
      <c r="D46" t="s">
        <v>29</v>
      </c>
      <c r="E46">
        <v>27</v>
      </c>
      <c r="F46">
        <v>10</v>
      </c>
      <c r="G46" s="22">
        <v>45348</v>
      </c>
      <c r="H46" s="32">
        <f t="shared" si="0"/>
        <v>270</v>
      </c>
    </row>
    <row r="47" spans="1:8" x14ac:dyDescent="0.3">
      <c r="A47">
        <v>1041</v>
      </c>
      <c r="B47" t="s">
        <v>73</v>
      </c>
      <c r="C47" t="s">
        <v>25</v>
      </c>
      <c r="D47" t="s">
        <v>32</v>
      </c>
      <c r="E47">
        <v>21</v>
      </c>
      <c r="F47">
        <v>25</v>
      </c>
      <c r="G47" s="22">
        <v>45349</v>
      </c>
      <c r="H47" s="32">
        <f t="shared" si="0"/>
        <v>525</v>
      </c>
    </row>
    <row r="48" spans="1:8" x14ac:dyDescent="0.3">
      <c r="A48">
        <v>1042</v>
      </c>
      <c r="B48" t="s">
        <v>74</v>
      </c>
      <c r="C48" t="s">
        <v>28</v>
      </c>
      <c r="D48" t="s">
        <v>36</v>
      </c>
      <c r="E48">
        <v>30</v>
      </c>
      <c r="F48">
        <v>5</v>
      </c>
      <c r="G48" s="22">
        <v>45350</v>
      </c>
      <c r="H48" s="32">
        <f t="shared" si="0"/>
        <v>150</v>
      </c>
    </row>
    <row r="49" spans="1:8" x14ac:dyDescent="0.3">
      <c r="A49">
        <v>1043</v>
      </c>
      <c r="B49" t="s">
        <v>75</v>
      </c>
      <c r="C49" t="s">
        <v>31</v>
      </c>
      <c r="D49" t="s">
        <v>39</v>
      </c>
      <c r="E49">
        <v>26</v>
      </c>
      <c r="F49">
        <v>8</v>
      </c>
      <c r="G49" s="22">
        <v>45352</v>
      </c>
      <c r="H49" s="32">
        <f t="shared" si="0"/>
        <v>208</v>
      </c>
    </row>
    <row r="50" spans="1:8" x14ac:dyDescent="0.3">
      <c r="A50">
        <v>1044</v>
      </c>
      <c r="B50" t="s">
        <v>76</v>
      </c>
      <c r="C50" t="s">
        <v>34</v>
      </c>
      <c r="D50" t="s">
        <v>26</v>
      </c>
      <c r="E50">
        <v>14</v>
      </c>
      <c r="F50">
        <v>50</v>
      </c>
      <c r="G50" s="22">
        <v>45353</v>
      </c>
      <c r="H50" s="32">
        <f t="shared" si="0"/>
        <v>700</v>
      </c>
    </row>
    <row r="51" spans="1:8" x14ac:dyDescent="0.3">
      <c r="A51">
        <v>1045</v>
      </c>
      <c r="B51" t="s">
        <v>77</v>
      </c>
      <c r="C51" t="s">
        <v>25</v>
      </c>
      <c r="D51" t="s">
        <v>29</v>
      </c>
      <c r="E51">
        <v>20</v>
      </c>
      <c r="F51">
        <v>10</v>
      </c>
      <c r="G51" s="22">
        <v>45354</v>
      </c>
      <c r="H51" s="32">
        <f t="shared" si="0"/>
        <v>200</v>
      </c>
    </row>
    <row r="52" spans="1:8" x14ac:dyDescent="0.3">
      <c r="A52">
        <v>1046</v>
      </c>
      <c r="B52" t="s">
        <v>78</v>
      </c>
      <c r="C52" t="s">
        <v>28</v>
      </c>
      <c r="D52" t="s">
        <v>32</v>
      </c>
      <c r="E52">
        <v>17</v>
      </c>
      <c r="F52">
        <v>25</v>
      </c>
      <c r="G52" s="22">
        <v>45355</v>
      </c>
      <c r="H52" s="32">
        <f t="shared" si="0"/>
        <v>425</v>
      </c>
    </row>
    <row r="53" spans="1:8" x14ac:dyDescent="0.3">
      <c r="A53">
        <v>1047</v>
      </c>
      <c r="B53" t="s">
        <v>79</v>
      </c>
      <c r="C53" t="s">
        <v>31</v>
      </c>
      <c r="D53" t="s">
        <v>36</v>
      </c>
      <c r="E53">
        <v>19</v>
      </c>
      <c r="F53">
        <v>5</v>
      </c>
      <c r="G53" s="22">
        <v>45356</v>
      </c>
      <c r="H53" s="32">
        <f t="shared" si="0"/>
        <v>95</v>
      </c>
    </row>
    <row r="54" spans="1:8" x14ac:dyDescent="0.3">
      <c r="A54">
        <v>1048</v>
      </c>
      <c r="B54" t="s">
        <v>80</v>
      </c>
      <c r="C54" t="s">
        <v>34</v>
      </c>
      <c r="D54" t="s">
        <v>39</v>
      </c>
      <c r="E54">
        <v>32</v>
      </c>
      <c r="F54">
        <v>8</v>
      </c>
      <c r="G54" s="22">
        <v>45357</v>
      </c>
      <c r="H54" s="32">
        <f t="shared" si="0"/>
        <v>256</v>
      </c>
    </row>
    <row r="55" spans="1:8" x14ac:dyDescent="0.3">
      <c r="A55">
        <v>1049</v>
      </c>
      <c r="B55" t="s">
        <v>81</v>
      </c>
      <c r="C55" t="s">
        <v>25</v>
      </c>
      <c r="D55" t="s">
        <v>26</v>
      </c>
      <c r="E55">
        <v>12</v>
      </c>
      <c r="F55">
        <v>50</v>
      </c>
      <c r="G55" s="22">
        <v>45358</v>
      </c>
      <c r="H55" s="32">
        <f t="shared" si="0"/>
        <v>600</v>
      </c>
    </row>
    <row r="56" spans="1:8" x14ac:dyDescent="0.3">
      <c r="A56">
        <v>1050</v>
      </c>
      <c r="B56" t="s">
        <v>82</v>
      </c>
      <c r="C56" t="s">
        <v>28</v>
      </c>
      <c r="D56" t="s">
        <v>29</v>
      </c>
      <c r="E56">
        <v>25</v>
      </c>
      <c r="F56">
        <v>10</v>
      </c>
      <c r="G56" s="22">
        <v>45359</v>
      </c>
      <c r="H56" s="32">
        <f t="shared" si="0"/>
        <v>250</v>
      </c>
    </row>
  </sheetData>
  <mergeCells count="2">
    <mergeCell ref="G2:O3"/>
    <mergeCell ref="J17:N17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DF9F-5897-4B49-8FF9-862CC43FAB47}">
  <dimension ref="B2:N12"/>
  <sheetViews>
    <sheetView workbookViewId="0">
      <selection activeCell="Q2" sqref="Q2"/>
    </sheetView>
  </sheetViews>
  <sheetFormatPr defaultRowHeight="14.4" x14ac:dyDescent="0.3"/>
  <cols>
    <col min="1" max="1" width="9.77734375" bestFit="1" customWidth="1"/>
    <col min="2" max="2" width="16.44140625" bestFit="1" customWidth="1"/>
    <col min="3" max="3" width="10.77734375" customWidth="1"/>
    <col min="4" max="4" width="9.88671875" bestFit="1" customWidth="1"/>
    <col min="5" max="5" width="10.5546875" bestFit="1" customWidth="1"/>
    <col min="6" max="6" width="10.88671875" bestFit="1" customWidth="1"/>
    <col min="7" max="7" width="11.88671875" bestFit="1" customWidth="1"/>
    <col min="8" max="8" width="12.109375" bestFit="1" customWidth="1"/>
  </cols>
  <sheetData>
    <row r="2" spans="2:14" ht="18" customHeight="1" x14ac:dyDescent="0.3">
      <c r="G2" s="45" t="s">
        <v>91</v>
      </c>
      <c r="H2" s="45"/>
      <c r="I2" s="45"/>
      <c r="J2" s="45"/>
      <c r="K2" s="45"/>
      <c r="L2" s="45"/>
      <c r="M2" s="45"/>
      <c r="N2" s="45"/>
    </row>
    <row r="3" spans="2:14" x14ac:dyDescent="0.3">
      <c r="G3" s="45"/>
      <c r="H3" s="45"/>
      <c r="I3" s="45"/>
      <c r="J3" s="45"/>
      <c r="K3" s="45"/>
      <c r="L3" s="45"/>
      <c r="M3" s="45"/>
      <c r="N3" s="45"/>
    </row>
    <row r="7" spans="2:14" x14ac:dyDescent="0.3">
      <c r="B7" s="23" t="s">
        <v>20</v>
      </c>
      <c r="C7" s="35" t="s">
        <v>84</v>
      </c>
    </row>
    <row r="8" spans="2:14" x14ac:dyDescent="0.3">
      <c r="B8" s="28" t="s">
        <v>26</v>
      </c>
      <c r="C8">
        <f>SUMIF('Question 6'!D7:D56,'Question 7'!B8,'Question 6'!H7:H56)</f>
        <v>7550</v>
      </c>
    </row>
    <row r="9" spans="2:14" x14ac:dyDescent="0.3">
      <c r="B9" s="27" t="s">
        <v>29</v>
      </c>
      <c r="C9">
        <f>SUMIF('Question 6'!D8:D57,'Question 7'!B9,'Question 6'!H8:H57)</f>
        <v>2180</v>
      </c>
    </row>
    <row r="10" spans="2:14" x14ac:dyDescent="0.3">
      <c r="B10" s="28" t="s">
        <v>32</v>
      </c>
      <c r="C10">
        <f>SUMIF('Question 6'!D9:D58,'Question 7'!B10,'Question 6'!H9:H58)</f>
        <v>3650</v>
      </c>
    </row>
    <row r="11" spans="2:14" x14ac:dyDescent="0.3">
      <c r="B11" s="28" t="s">
        <v>36</v>
      </c>
      <c r="C11">
        <f>SUMIF('Question 6'!D10:D59,'Question 7'!B11,'Question 6'!H10:H59)</f>
        <v>1235</v>
      </c>
    </row>
    <row r="12" spans="2:14" x14ac:dyDescent="0.3">
      <c r="B12" s="28" t="s">
        <v>39</v>
      </c>
      <c r="C12">
        <f>SUMIF('Question 6'!D11:D60,'Question 7'!B12,'Question 6'!H11:H60)</f>
        <v>1928</v>
      </c>
    </row>
  </sheetData>
  <mergeCells count="1">
    <mergeCell ref="G2:N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B690E-02F1-4C51-BFAC-578A5C451C2B}">
  <dimension ref="B2:O55"/>
  <sheetViews>
    <sheetView topLeftCell="A7" zoomScaleNormal="100" workbookViewId="0">
      <selection activeCell="L24" sqref="L24"/>
    </sheetView>
  </sheetViews>
  <sheetFormatPr defaultRowHeight="14.4" x14ac:dyDescent="0.3"/>
  <cols>
    <col min="2" max="2" width="10.33203125" bestFit="1" customWidth="1"/>
    <col min="3" max="3" width="9.77734375" bestFit="1" customWidth="1"/>
  </cols>
  <sheetData>
    <row r="2" spans="2:15" ht="18" customHeight="1" x14ac:dyDescent="0.3">
      <c r="I2" s="45" t="s">
        <v>92</v>
      </c>
      <c r="J2" s="45"/>
      <c r="K2" s="45"/>
      <c r="L2" s="45"/>
      <c r="M2" s="45"/>
      <c r="N2" s="45"/>
      <c r="O2" s="45"/>
    </row>
    <row r="3" spans="2:15" x14ac:dyDescent="0.3">
      <c r="I3" s="45"/>
      <c r="J3" s="45"/>
      <c r="K3" s="45"/>
      <c r="L3" s="45"/>
      <c r="M3" s="45"/>
      <c r="N3" s="45"/>
      <c r="O3" s="45"/>
    </row>
    <row r="5" spans="2:15" x14ac:dyDescent="0.3">
      <c r="B5" s="24" t="s">
        <v>23</v>
      </c>
      <c r="C5" t="s">
        <v>84</v>
      </c>
    </row>
    <row r="6" spans="2:15" x14ac:dyDescent="0.3">
      <c r="B6" s="29">
        <v>45296</v>
      </c>
      <c r="C6">
        <v>500</v>
      </c>
    </row>
    <row r="7" spans="2:15" x14ac:dyDescent="0.3">
      <c r="B7" s="30">
        <v>45297</v>
      </c>
      <c r="C7">
        <v>200</v>
      </c>
    </row>
    <row r="8" spans="2:15" x14ac:dyDescent="0.3">
      <c r="B8" s="29">
        <v>45298</v>
      </c>
      <c r="C8">
        <v>375</v>
      </c>
    </row>
    <row r="9" spans="2:15" x14ac:dyDescent="0.3">
      <c r="B9" s="30">
        <v>45299</v>
      </c>
      <c r="C9">
        <v>250</v>
      </c>
    </row>
    <row r="10" spans="2:15" x14ac:dyDescent="0.3">
      <c r="B10" s="29">
        <v>45301</v>
      </c>
      <c r="C10">
        <v>150</v>
      </c>
    </row>
    <row r="11" spans="2:15" x14ac:dyDescent="0.3">
      <c r="B11" s="30">
        <v>45302</v>
      </c>
      <c r="C11">
        <v>600</v>
      </c>
    </row>
    <row r="12" spans="2:15" x14ac:dyDescent="0.3">
      <c r="B12" s="29">
        <v>45304</v>
      </c>
      <c r="C12">
        <v>200</v>
      </c>
    </row>
    <row r="13" spans="2:15" x14ac:dyDescent="0.3">
      <c r="B13" s="30">
        <v>45306</v>
      </c>
      <c r="C13">
        <v>180</v>
      </c>
    </row>
    <row r="14" spans="2:15" x14ac:dyDescent="0.3">
      <c r="B14" s="29">
        <v>45308</v>
      </c>
      <c r="C14">
        <v>550</v>
      </c>
    </row>
    <row r="15" spans="2:15" x14ac:dyDescent="0.3">
      <c r="B15" s="30">
        <v>45309</v>
      </c>
      <c r="C15">
        <v>400</v>
      </c>
    </row>
    <row r="16" spans="2:15" x14ac:dyDescent="0.3">
      <c r="B16" s="29">
        <v>45310</v>
      </c>
      <c r="C16">
        <v>200</v>
      </c>
    </row>
    <row r="17" spans="2:3" x14ac:dyDescent="0.3">
      <c r="B17" s="30">
        <v>45311</v>
      </c>
      <c r="C17">
        <v>280</v>
      </c>
    </row>
    <row r="18" spans="2:3" x14ac:dyDescent="0.3">
      <c r="B18" s="29">
        <v>45313</v>
      </c>
      <c r="C18">
        <v>700</v>
      </c>
    </row>
    <row r="19" spans="2:3" x14ac:dyDescent="0.3">
      <c r="B19" s="30">
        <v>45314</v>
      </c>
      <c r="C19">
        <v>280</v>
      </c>
    </row>
    <row r="20" spans="2:3" x14ac:dyDescent="0.3">
      <c r="B20" s="29">
        <v>45315</v>
      </c>
      <c r="C20">
        <v>300</v>
      </c>
    </row>
    <row r="21" spans="2:3" x14ac:dyDescent="0.3">
      <c r="B21" s="30">
        <v>45317</v>
      </c>
      <c r="C21">
        <v>125</v>
      </c>
    </row>
    <row r="22" spans="2:3" x14ac:dyDescent="0.3">
      <c r="B22" s="29">
        <v>45319</v>
      </c>
      <c r="C22">
        <v>160</v>
      </c>
    </row>
    <row r="23" spans="2:3" x14ac:dyDescent="0.3">
      <c r="B23" s="30">
        <v>45320</v>
      </c>
      <c r="C23">
        <v>500</v>
      </c>
    </row>
    <row r="24" spans="2:3" x14ac:dyDescent="0.3">
      <c r="B24" s="29">
        <v>45321</v>
      </c>
      <c r="C24">
        <v>150</v>
      </c>
    </row>
    <row r="25" spans="2:3" x14ac:dyDescent="0.3">
      <c r="B25" s="30">
        <v>45323</v>
      </c>
      <c r="C25">
        <v>450</v>
      </c>
    </row>
    <row r="26" spans="2:3" x14ac:dyDescent="0.3">
      <c r="B26" s="29">
        <v>45324</v>
      </c>
      <c r="C26">
        <v>450</v>
      </c>
    </row>
    <row r="27" spans="2:3" x14ac:dyDescent="0.3">
      <c r="B27" s="30">
        <v>45325</v>
      </c>
      <c r="C27">
        <v>175</v>
      </c>
    </row>
    <row r="28" spans="2:3" x14ac:dyDescent="0.3">
      <c r="B28" s="29">
        <v>45326</v>
      </c>
      <c r="C28">
        <v>240</v>
      </c>
    </row>
    <row r="29" spans="2:3" x14ac:dyDescent="0.3">
      <c r="B29" s="30">
        <v>45328</v>
      </c>
      <c r="C29">
        <v>550</v>
      </c>
    </row>
    <row r="30" spans="2:3" x14ac:dyDescent="0.3">
      <c r="B30" s="29">
        <v>45329</v>
      </c>
      <c r="C30">
        <v>140</v>
      </c>
    </row>
    <row r="31" spans="2:3" x14ac:dyDescent="0.3">
      <c r="B31" s="30">
        <v>45330</v>
      </c>
      <c r="C31">
        <v>400</v>
      </c>
    </row>
    <row r="32" spans="2:3" x14ac:dyDescent="0.3">
      <c r="B32" s="29">
        <v>45331</v>
      </c>
      <c r="C32">
        <v>110</v>
      </c>
    </row>
    <row r="33" spans="2:3" x14ac:dyDescent="0.3">
      <c r="B33" s="30">
        <v>45332</v>
      </c>
      <c r="C33">
        <v>216</v>
      </c>
    </row>
    <row r="34" spans="2:3" x14ac:dyDescent="0.3">
      <c r="B34" s="29">
        <v>45334</v>
      </c>
      <c r="C34">
        <v>650</v>
      </c>
    </row>
    <row r="35" spans="2:3" x14ac:dyDescent="0.3">
      <c r="B35" s="30">
        <v>45335</v>
      </c>
      <c r="C35">
        <v>320</v>
      </c>
    </row>
    <row r="36" spans="2:3" x14ac:dyDescent="0.3">
      <c r="B36" s="29">
        <v>45336</v>
      </c>
      <c r="C36">
        <v>250</v>
      </c>
    </row>
    <row r="37" spans="2:3" x14ac:dyDescent="0.3">
      <c r="B37" s="30">
        <v>45338</v>
      </c>
      <c r="C37">
        <v>90</v>
      </c>
    </row>
    <row r="38" spans="2:3" x14ac:dyDescent="0.3">
      <c r="B38" s="29">
        <v>45339</v>
      </c>
      <c r="C38">
        <v>176</v>
      </c>
    </row>
    <row r="39" spans="2:3" x14ac:dyDescent="0.3">
      <c r="B39" s="30">
        <v>45340</v>
      </c>
      <c r="C39">
        <v>850</v>
      </c>
    </row>
    <row r="40" spans="2:3" x14ac:dyDescent="0.3">
      <c r="B40" s="29">
        <v>45341</v>
      </c>
      <c r="C40">
        <v>190</v>
      </c>
    </row>
    <row r="41" spans="2:3" x14ac:dyDescent="0.3">
      <c r="B41" s="30">
        <v>45343</v>
      </c>
      <c r="C41">
        <v>375</v>
      </c>
    </row>
    <row r="42" spans="2:3" x14ac:dyDescent="0.3">
      <c r="B42" s="29">
        <v>45344</v>
      </c>
      <c r="C42">
        <v>140</v>
      </c>
    </row>
    <row r="43" spans="2:3" x14ac:dyDescent="0.3">
      <c r="B43" s="30">
        <v>45345</v>
      </c>
      <c r="C43">
        <v>192</v>
      </c>
    </row>
    <row r="44" spans="2:3" x14ac:dyDescent="0.3">
      <c r="B44" s="29">
        <v>45347</v>
      </c>
      <c r="C44">
        <v>800</v>
      </c>
    </row>
    <row r="45" spans="2:3" x14ac:dyDescent="0.3">
      <c r="B45" s="30">
        <v>45348</v>
      </c>
      <c r="C45">
        <v>270</v>
      </c>
    </row>
    <row r="46" spans="2:3" x14ac:dyDescent="0.3">
      <c r="B46" s="29">
        <v>45349</v>
      </c>
      <c r="C46">
        <v>525</v>
      </c>
    </row>
    <row r="47" spans="2:3" x14ac:dyDescent="0.3">
      <c r="B47" s="30">
        <v>45350</v>
      </c>
      <c r="C47">
        <v>150</v>
      </c>
    </row>
    <row r="48" spans="2:3" x14ac:dyDescent="0.3">
      <c r="B48" s="29">
        <v>45352</v>
      </c>
      <c r="C48">
        <v>208</v>
      </c>
    </row>
    <row r="49" spans="2:3" x14ac:dyDescent="0.3">
      <c r="B49" s="30">
        <v>45353</v>
      </c>
      <c r="C49">
        <v>700</v>
      </c>
    </row>
    <row r="50" spans="2:3" x14ac:dyDescent="0.3">
      <c r="B50" s="29">
        <v>45354</v>
      </c>
      <c r="C50">
        <v>200</v>
      </c>
    </row>
    <row r="51" spans="2:3" x14ac:dyDescent="0.3">
      <c r="B51" s="30">
        <v>45355</v>
      </c>
      <c r="C51">
        <v>425</v>
      </c>
    </row>
    <row r="52" spans="2:3" x14ac:dyDescent="0.3">
      <c r="B52" s="29">
        <v>45356</v>
      </c>
      <c r="C52">
        <v>95</v>
      </c>
    </row>
    <row r="53" spans="2:3" x14ac:dyDescent="0.3">
      <c r="B53" s="30">
        <v>45357</v>
      </c>
      <c r="C53">
        <v>256</v>
      </c>
    </row>
    <row r="54" spans="2:3" x14ac:dyDescent="0.3">
      <c r="B54" s="29">
        <v>45358</v>
      </c>
      <c r="C54">
        <v>600</v>
      </c>
    </row>
    <row r="55" spans="2:3" x14ac:dyDescent="0.3">
      <c r="B55" s="30">
        <v>45359</v>
      </c>
      <c r="C55">
        <v>250</v>
      </c>
    </row>
  </sheetData>
  <mergeCells count="1">
    <mergeCell ref="I2:O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C428F-0B3D-4A7C-A86D-6CE8C913BD85}">
  <dimension ref="A1:G51"/>
  <sheetViews>
    <sheetView tabSelected="1" workbookViewId="0">
      <selection activeCell="I43" sqref="I43"/>
    </sheetView>
  </sheetViews>
  <sheetFormatPr defaultRowHeight="14.4" x14ac:dyDescent="0.3"/>
  <cols>
    <col min="1" max="1" width="9.77734375" bestFit="1" customWidth="1"/>
    <col min="2" max="2" width="16.44140625" bestFit="1" customWidth="1"/>
    <col min="3" max="3" width="9" bestFit="1" customWidth="1"/>
    <col min="4" max="4" width="9.88671875" bestFit="1" customWidth="1"/>
    <col min="5" max="5" width="10.5546875" bestFit="1" customWidth="1"/>
    <col min="6" max="6" width="10.88671875" bestFit="1" customWidth="1"/>
    <col min="7" max="7" width="11.88671875" bestFit="1" customWidth="1"/>
  </cols>
  <sheetData>
    <row r="1" spans="1:7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 x14ac:dyDescent="0.3">
      <c r="A2">
        <v>1001</v>
      </c>
      <c r="B2" t="s">
        <v>24</v>
      </c>
      <c r="C2" t="s">
        <v>25</v>
      </c>
      <c r="D2" t="s">
        <v>26</v>
      </c>
      <c r="E2">
        <v>10</v>
      </c>
      <c r="F2">
        <v>50</v>
      </c>
      <c r="G2" s="22">
        <v>45296</v>
      </c>
    </row>
    <row r="3" spans="1:7" x14ac:dyDescent="0.3">
      <c r="A3">
        <v>1002</v>
      </c>
      <c r="B3" t="s">
        <v>27</v>
      </c>
      <c r="C3" t="s">
        <v>28</v>
      </c>
      <c r="D3" t="s">
        <v>29</v>
      </c>
      <c r="E3">
        <v>20</v>
      </c>
      <c r="F3">
        <v>10</v>
      </c>
      <c r="G3" s="22">
        <v>45297</v>
      </c>
    </row>
    <row r="4" spans="1:7" x14ac:dyDescent="0.3">
      <c r="A4">
        <v>1003</v>
      </c>
      <c r="B4" t="s">
        <v>30</v>
      </c>
      <c r="C4" t="s">
        <v>31</v>
      </c>
      <c r="D4" t="s">
        <v>32</v>
      </c>
      <c r="E4">
        <v>15</v>
      </c>
      <c r="F4">
        <v>25</v>
      </c>
      <c r="G4" s="22">
        <v>45298</v>
      </c>
    </row>
    <row r="5" spans="1:7" x14ac:dyDescent="0.3">
      <c r="A5">
        <v>1004</v>
      </c>
      <c r="B5" t="s">
        <v>33</v>
      </c>
      <c r="C5" t="s">
        <v>34</v>
      </c>
      <c r="D5" t="s">
        <v>26</v>
      </c>
      <c r="E5">
        <v>5</v>
      </c>
      <c r="F5">
        <v>50</v>
      </c>
      <c r="G5" s="22">
        <v>45299</v>
      </c>
    </row>
    <row r="6" spans="1:7" x14ac:dyDescent="0.3">
      <c r="A6">
        <v>1005</v>
      </c>
      <c r="B6" t="s">
        <v>35</v>
      </c>
      <c r="C6" t="s">
        <v>25</v>
      </c>
      <c r="D6" t="s">
        <v>36</v>
      </c>
      <c r="E6">
        <v>30</v>
      </c>
      <c r="F6">
        <v>5</v>
      </c>
      <c r="G6" s="22">
        <v>45301</v>
      </c>
    </row>
    <row r="7" spans="1:7" x14ac:dyDescent="0.3">
      <c r="A7">
        <v>1006</v>
      </c>
      <c r="B7" t="s">
        <v>37</v>
      </c>
      <c r="C7" t="s">
        <v>28</v>
      </c>
      <c r="D7" t="s">
        <v>26</v>
      </c>
      <c r="E7">
        <v>12</v>
      </c>
      <c r="F7">
        <v>50</v>
      </c>
      <c r="G7" s="22">
        <v>45302</v>
      </c>
    </row>
    <row r="8" spans="1:7" x14ac:dyDescent="0.3">
      <c r="A8">
        <v>1007</v>
      </c>
      <c r="B8" t="s">
        <v>38</v>
      </c>
      <c r="C8" t="s">
        <v>31</v>
      </c>
      <c r="D8" t="s">
        <v>39</v>
      </c>
      <c r="E8">
        <v>25</v>
      </c>
      <c r="F8">
        <v>8</v>
      </c>
      <c r="G8" s="22">
        <v>45304</v>
      </c>
    </row>
    <row r="9" spans="1:7" x14ac:dyDescent="0.3">
      <c r="A9">
        <v>1008</v>
      </c>
      <c r="B9" t="s">
        <v>40</v>
      </c>
      <c r="C9" t="s">
        <v>34</v>
      </c>
      <c r="D9" t="s">
        <v>29</v>
      </c>
      <c r="E9">
        <v>18</v>
      </c>
      <c r="F9">
        <v>10</v>
      </c>
      <c r="G9" s="22">
        <v>45306</v>
      </c>
    </row>
    <row r="10" spans="1:7" x14ac:dyDescent="0.3">
      <c r="A10">
        <v>1009</v>
      </c>
      <c r="B10" t="s">
        <v>41</v>
      </c>
      <c r="C10" t="s">
        <v>25</v>
      </c>
      <c r="D10" t="s">
        <v>32</v>
      </c>
      <c r="E10">
        <v>22</v>
      </c>
      <c r="F10">
        <v>25</v>
      </c>
      <c r="G10" s="22">
        <v>45308</v>
      </c>
    </row>
    <row r="11" spans="1:7" x14ac:dyDescent="0.3">
      <c r="A11">
        <v>1010</v>
      </c>
      <c r="B11" t="s">
        <v>42</v>
      </c>
      <c r="C11" t="s">
        <v>28</v>
      </c>
      <c r="D11" t="s">
        <v>26</v>
      </c>
      <c r="E11">
        <v>8</v>
      </c>
      <c r="F11">
        <v>50</v>
      </c>
      <c r="G11" s="22">
        <v>45309</v>
      </c>
    </row>
    <row r="12" spans="1:7" x14ac:dyDescent="0.3">
      <c r="A12">
        <v>1011</v>
      </c>
      <c r="B12" t="s">
        <v>43</v>
      </c>
      <c r="C12" t="s">
        <v>31</v>
      </c>
      <c r="D12" t="s">
        <v>36</v>
      </c>
      <c r="E12">
        <v>40</v>
      </c>
      <c r="F12">
        <v>5</v>
      </c>
      <c r="G12" s="22">
        <v>45310</v>
      </c>
    </row>
    <row r="13" spans="1:7" x14ac:dyDescent="0.3">
      <c r="A13">
        <v>1012</v>
      </c>
      <c r="B13" t="s">
        <v>44</v>
      </c>
      <c r="C13" t="s">
        <v>34</v>
      </c>
      <c r="D13" t="s">
        <v>39</v>
      </c>
      <c r="E13">
        <v>35</v>
      </c>
      <c r="F13">
        <v>8</v>
      </c>
      <c r="G13" s="22">
        <v>45311</v>
      </c>
    </row>
    <row r="14" spans="1:7" x14ac:dyDescent="0.3">
      <c r="A14">
        <v>1013</v>
      </c>
      <c r="B14" t="s">
        <v>45</v>
      </c>
      <c r="C14" t="s">
        <v>25</v>
      </c>
      <c r="D14" t="s">
        <v>26</v>
      </c>
      <c r="E14">
        <v>14</v>
      </c>
      <c r="F14">
        <v>50</v>
      </c>
      <c r="G14" s="22">
        <v>45313</v>
      </c>
    </row>
    <row r="15" spans="1:7" x14ac:dyDescent="0.3">
      <c r="A15">
        <v>1014</v>
      </c>
      <c r="B15" t="s">
        <v>46</v>
      </c>
      <c r="C15" t="s">
        <v>28</v>
      </c>
      <c r="D15" t="s">
        <v>29</v>
      </c>
      <c r="E15">
        <v>28</v>
      </c>
      <c r="F15">
        <v>10</v>
      </c>
      <c r="G15" s="22">
        <v>45314</v>
      </c>
    </row>
    <row r="16" spans="1:7" x14ac:dyDescent="0.3">
      <c r="A16">
        <v>1015</v>
      </c>
      <c r="B16" t="s">
        <v>47</v>
      </c>
      <c r="C16" t="s">
        <v>31</v>
      </c>
      <c r="D16" t="s">
        <v>32</v>
      </c>
      <c r="E16">
        <v>12</v>
      </c>
      <c r="F16">
        <v>25</v>
      </c>
      <c r="G16" s="22">
        <v>45315</v>
      </c>
    </row>
    <row r="17" spans="1:7" x14ac:dyDescent="0.3">
      <c r="A17">
        <v>1016</v>
      </c>
      <c r="B17" t="s">
        <v>48</v>
      </c>
      <c r="C17" t="s">
        <v>34</v>
      </c>
      <c r="D17" t="s">
        <v>36</v>
      </c>
      <c r="E17">
        <v>25</v>
      </c>
      <c r="F17">
        <v>5</v>
      </c>
      <c r="G17" s="22">
        <v>45317</v>
      </c>
    </row>
    <row r="18" spans="1:7" x14ac:dyDescent="0.3">
      <c r="A18">
        <v>1017</v>
      </c>
      <c r="B18" t="s">
        <v>49</v>
      </c>
      <c r="C18" t="s">
        <v>25</v>
      </c>
      <c r="D18" t="s">
        <v>39</v>
      </c>
      <c r="E18">
        <v>20</v>
      </c>
      <c r="F18">
        <v>8</v>
      </c>
      <c r="G18" s="22">
        <v>45319</v>
      </c>
    </row>
    <row r="19" spans="1:7" x14ac:dyDescent="0.3">
      <c r="A19">
        <v>1018</v>
      </c>
      <c r="B19" t="s">
        <v>50</v>
      </c>
      <c r="C19" t="s">
        <v>28</v>
      </c>
      <c r="D19" t="s">
        <v>26</v>
      </c>
      <c r="E19">
        <v>10</v>
      </c>
      <c r="F19">
        <v>50</v>
      </c>
      <c r="G19" s="22">
        <v>45320</v>
      </c>
    </row>
    <row r="20" spans="1:7" x14ac:dyDescent="0.3">
      <c r="A20">
        <v>1019</v>
      </c>
      <c r="B20" t="s">
        <v>51</v>
      </c>
      <c r="C20" t="s">
        <v>31</v>
      </c>
      <c r="D20" t="s">
        <v>29</v>
      </c>
      <c r="E20">
        <v>15</v>
      </c>
      <c r="F20">
        <v>10</v>
      </c>
      <c r="G20" s="22">
        <v>45321</v>
      </c>
    </row>
    <row r="21" spans="1:7" x14ac:dyDescent="0.3">
      <c r="A21">
        <v>1020</v>
      </c>
      <c r="B21" t="s">
        <v>52</v>
      </c>
      <c r="C21" t="s">
        <v>34</v>
      </c>
      <c r="D21" t="s">
        <v>32</v>
      </c>
      <c r="E21">
        <v>18</v>
      </c>
      <c r="F21">
        <v>25</v>
      </c>
      <c r="G21" s="22">
        <v>45323</v>
      </c>
    </row>
    <row r="22" spans="1:7" x14ac:dyDescent="0.3">
      <c r="A22">
        <v>1021</v>
      </c>
      <c r="B22" t="s">
        <v>53</v>
      </c>
      <c r="C22" t="s">
        <v>25</v>
      </c>
      <c r="D22" t="s">
        <v>26</v>
      </c>
      <c r="E22">
        <v>9</v>
      </c>
      <c r="F22">
        <v>50</v>
      </c>
      <c r="G22" s="22">
        <v>45324</v>
      </c>
    </row>
    <row r="23" spans="1:7" x14ac:dyDescent="0.3">
      <c r="A23">
        <v>1022</v>
      </c>
      <c r="B23" t="s">
        <v>54</v>
      </c>
      <c r="C23" t="s">
        <v>28</v>
      </c>
      <c r="D23" t="s">
        <v>36</v>
      </c>
      <c r="E23">
        <v>35</v>
      </c>
      <c r="F23">
        <v>5</v>
      </c>
      <c r="G23" s="22">
        <v>45325</v>
      </c>
    </row>
    <row r="24" spans="1:7" x14ac:dyDescent="0.3">
      <c r="A24">
        <v>1023</v>
      </c>
      <c r="B24" t="s">
        <v>55</v>
      </c>
      <c r="C24" t="s">
        <v>31</v>
      </c>
      <c r="D24" t="s">
        <v>39</v>
      </c>
      <c r="E24">
        <v>30</v>
      </c>
      <c r="F24">
        <v>8</v>
      </c>
      <c r="G24" s="22">
        <v>45326</v>
      </c>
    </row>
    <row r="25" spans="1:7" x14ac:dyDescent="0.3">
      <c r="A25">
        <v>1024</v>
      </c>
      <c r="B25" t="s">
        <v>56</v>
      </c>
      <c r="C25" t="s">
        <v>34</v>
      </c>
      <c r="D25" t="s">
        <v>26</v>
      </c>
      <c r="E25">
        <v>11</v>
      </c>
      <c r="F25">
        <v>50</v>
      </c>
      <c r="G25" s="22">
        <v>45328</v>
      </c>
    </row>
    <row r="26" spans="1:7" x14ac:dyDescent="0.3">
      <c r="A26">
        <v>1025</v>
      </c>
      <c r="B26" t="s">
        <v>57</v>
      </c>
      <c r="C26" t="s">
        <v>25</v>
      </c>
      <c r="D26" t="s">
        <v>29</v>
      </c>
      <c r="E26">
        <v>14</v>
      </c>
      <c r="F26">
        <v>10</v>
      </c>
      <c r="G26" s="22">
        <v>45329</v>
      </c>
    </row>
    <row r="27" spans="1:7" x14ac:dyDescent="0.3">
      <c r="A27">
        <v>1026</v>
      </c>
      <c r="B27" t="s">
        <v>58</v>
      </c>
      <c r="C27" t="s">
        <v>28</v>
      </c>
      <c r="D27" t="s">
        <v>32</v>
      </c>
      <c r="E27">
        <v>16</v>
      </c>
      <c r="F27">
        <v>25</v>
      </c>
      <c r="G27" s="22">
        <v>45330</v>
      </c>
    </row>
    <row r="28" spans="1:7" x14ac:dyDescent="0.3">
      <c r="A28">
        <v>1027</v>
      </c>
      <c r="B28" t="s">
        <v>59</v>
      </c>
      <c r="C28" t="s">
        <v>31</v>
      </c>
      <c r="D28" t="s">
        <v>36</v>
      </c>
      <c r="E28">
        <v>22</v>
      </c>
      <c r="F28">
        <v>5</v>
      </c>
      <c r="G28" s="22">
        <v>45331</v>
      </c>
    </row>
    <row r="29" spans="1:7" x14ac:dyDescent="0.3">
      <c r="A29">
        <v>1028</v>
      </c>
      <c r="B29" t="s">
        <v>60</v>
      </c>
      <c r="C29" t="s">
        <v>34</v>
      </c>
      <c r="D29" t="s">
        <v>39</v>
      </c>
      <c r="E29">
        <v>27</v>
      </c>
      <c r="F29">
        <v>8</v>
      </c>
      <c r="G29" s="22">
        <v>45332</v>
      </c>
    </row>
    <row r="30" spans="1:7" x14ac:dyDescent="0.3">
      <c r="A30">
        <v>1029</v>
      </c>
      <c r="B30" t="s">
        <v>61</v>
      </c>
      <c r="C30" t="s">
        <v>25</v>
      </c>
      <c r="D30" t="s">
        <v>26</v>
      </c>
      <c r="E30">
        <v>13</v>
      </c>
      <c r="F30">
        <v>50</v>
      </c>
      <c r="G30" s="22">
        <v>45334</v>
      </c>
    </row>
    <row r="31" spans="1:7" x14ac:dyDescent="0.3">
      <c r="A31">
        <v>1030</v>
      </c>
      <c r="B31" t="s">
        <v>62</v>
      </c>
      <c r="C31" t="s">
        <v>28</v>
      </c>
      <c r="D31" t="s">
        <v>29</v>
      </c>
      <c r="E31">
        <v>32</v>
      </c>
      <c r="F31">
        <v>10</v>
      </c>
      <c r="G31" s="22">
        <v>45335</v>
      </c>
    </row>
    <row r="32" spans="1:7" x14ac:dyDescent="0.3">
      <c r="A32">
        <v>1031</v>
      </c>
      <c r="B32" t="s">
        <v>63</v>
      </c>
      <c r="C32" t="s">
        <v>31</v>
      </c>
      <c r="D32" t="s">
        <v>32</v>
      </c>
      <c r="E32">
        <v>10</v>
      </c>
      <c r="F32">
        <v>25</v>
      </c>
      <c r="G32" s="22">
        <v>45336</v>
      </c>
    </row>
    <row r="33" spans="1:7" x14ac:dyDescent="0.3">
      <c r="A33">
        <v>1032</v>
      </c>
      <c r="B33" t="s">
        <v>64</v>
      </c>
      <c r="C33" t="s">
        <v>34</v>
      </c>
      <c r="D33" t="s">
        <v>36</v>
      </c>
      <c r="E33">
        <v>18</v>
      </c>
      <c r="F33">
        <v>5</v>
      </c>
      <c r="G33" s="22">
        <v>45338</v>
      </c>
    </row>
    <row r="34" spans="1:7" x14ac:dyDescent="0.3">
      <c r="A34">
        <v>1033</v>
      </c>
      <c r="B34" t="s">
        <v>65</v>
      </c>
      <c r="C34" t="s">
        <v>25</v>
      </c>
      <c r="D34" t="s">
        <v>39</v>
      </c>
      <c r="E34">
        <v>22</v>
      </c>
      <c r="F34">
        <v>8</v>
      </c>
      <c r="G34" s="22">
        <v>45339</v>
      </c>
    </row>
    <row r="35" spans="1:7" x14ac:dyDescent="0.3">
      <c r="A35">
        <v>1034</v>
      </c>
      <c r="B35" t="s">
        <v>66</v>
      </c>
      <c r="C35" t="s">
        <v>28</v>
      </c>
      <c r="D35" t="s">
        <v>26</v>
      </c>
      <c r="E35">
        <v>17</v>
      </c>
      <c r="F35">
        <v>50</v>
      </c>
      <c r="G35" s="22">
        <v>45340</v>
      </c>
    </row>
    <row r="36" spans="1:7" x14ac:dyDescent="0.3">
      <c r="A36">
        <v>1035</v>
      </c>
      <c r="B36" t="s">
        <v>67</v>
      </c>
      <c r="C36" t="s">
        <v>31</v>
      </c>
      <c r="D36" t="s">
        <v>29</v>
      </c>
      <c r="E36">
        <v>19</v>
      </c>
      <c r="F36">
        <v>10</v>
      </c>
      <c r="G36" s="22">
        <v>45341</v>
      </c>
    </row>
    <row r="37" spans="1:7" x14ac:dyDescent="0.3">
      <c r="A37">
        <v>1036</v>
      </c>
      <c r="B37" t="s">
        <v>68</v>
      </c>
      <c r="C37" t="s">
        <v>34</v>
      </c>
      <c r="D37" t="s">
        <v>32</v>
      </c>
      <c r="E37">
        <v>15</v>
      </c>
      <c r="F37">
        <v>25</v>
      </c>
      <c r="G37" s="22">
        <v>45343</v>
      </c>
    </row>
    <row r="38" spans="1:7" x14ac:dyDescent="0.3">
      <c r="A38">
        <v>1037</v>
      </c>
      <c r="B38" t="s">
        <v>69</v>
      </c>
      <c r="C38" t="s">
        <v>25</v>
      </c>
      <c r="D38" t="s">
        <v>36</v>
      </c>
      <c r="E38">
        <v>28</v>
      </c>
      <c r="F38">
        <v>5</v>
      </c>
      <c r="G38" s="22">
        <v>45344</v>
      </c>
    </row>
    <row r="39" spans="1:7" x14ac:dyDescent="0.3">
      <c r="A39">
        <v>1038</v>
      </c>
      <c r="B39" t="s">
        <v>70</v>
      </c>
      <c r="C39" t="s">
        <v>28</v>
      </c>
      <c r="D39" t="s">
        <v>39</v>
      </c>
      <c r="E39">
        <v>24</v>
      </c>
      <c r="F39">
        <v>8</v>
      </c>
      <c r="G39" s="22">
        <v>45345</v>
      </c>
    </row>
    <row r="40" spans="1:7" x14ac:dyDescent="0.3">
      <c r="A40">
        <v>1039</v>
      </c>
      <c r="B40" t="s">
        <v>71</v>
      </c>
      <c r="C40" t="s">
        <v>31</v>
      </c>
      <c r="D40" t="s">
        <v>26</v>
      </c>
      <c r="E40">
        <v>16</v>
      </c>
      <c r="F40">
        <v>50</v>
      </c>
      <c r="G40" s="22">
        <v>45347</v>
      </c>
    </row>
    <row r="41" spans="1:7" x14ac:dyDescent="0.3">
      <c r="A41">
        <v>1040</v>
      </c>
      <c r="B41" t="s">
        <v>72</v>
      </c>
      <c r="C41" t="s">
        <v>34</v>
      </c>
      <c r="D41" t="s">
        <v>29</v>
      </c>
      <c r="E41">
        <v>27</v>
      </c>
      <c r="F41">
        <v>10</v>
      </c>
      <c r="G41" s="22">
        <v>45348</v>
      </c>
    </row>
    <row r="42" spans="1:7" x14ac:dyDescent="0.3">
      <c r="A42">
        <v>1041</v>
      </c>
      <c r="B42" t="s">
        <v>73</v>
      </c>
      <c r="C42" t="s">
        <v>25</v>
      </c>
      <c r="D42" t="s">
        <v>32</v>
      </c>
      <c r="E42">
        <v>21</v>
      </c>
      <c r="F42">
        <v>25</v>
      </c>
      <c r="G42" s="22">
        <v>45349</v>
      </c>
    </row>
    <row r="43" spans="1:7" x14ac:dyDescent="0.3">
      <c r="A43">
        <v>1042</v>
      </c>
      <c r="B43" t="s">
        <v>74</v>
      </c>
      <c r="C43" t="s">
        <v>28</v>
      </c>
      <c r="D43" t="s">
        <v>36</v>
      </c>
      <c r="E43">
        <v>30</v>
      </c>
      <c r="F43">
        <v>5</v>
      </c>
      <c r="G43" s="22">
        <v>45350</v>
      </c>
    </row>
    <row r="44" spans="1:7" x14ac:dyDescent="0.3">
      <c r="A44">
        <v>1043</v>
      </c>
      <c r="B44" t="s">
        <v>75</v>
      </c>
      <c r="C44" t="s">
        <v>31</v>
      </c>
      <c r="D44" t="s">
        <v>39</v>
      </c>
      <c r="E44">
        <v>26</v>
      </c>
      <c r="F44">
        <v>8</v>
      </c>
      <c r="G44" s="22">
        <v>45352</v>
      </c>
    </row>
    <row r="45" spans="1:7" x14ac:dyDescent="0.3">
      <c r="A45">
        <v>1044</v>
      </c>
      <c r="B45" t="s">
        <v>76</v>
      </c>
      <c r="C45" t="s">
        <v>34</v>
      </c>
      <c r="D45" t="s">
        <v>26</v>
      </c>
      <c r="E45">
        <v>14</v>
      </c>
      <c r="F45">
        <v>50</v>
      </c>
      <c r="G45" s="22">
        <v>45353</v>
      </c>
    </row>
    <row r="46" spans="1:7" x14ac:dyDescent="0.3">
      <c r="A46">
        <v>1045</v>
      </c>
      <c r="B46" t="s">
        <v>77</v>
      </c>
      <c r="C46" t="s">
        <v>25</v>
      </c>
      <c r="D46" t="s">
        <v>29</v>
      </c>
      <c r="E46">
        <v>20</v>
      </c>
      <c r="F46">
        <v>10</v>
      </c>
      <c r="G46" s="22">
        <v>45354</v>
      </c>
    </row>
    <row r="47" spans="1:7" x14ac:dyDescent="0.3">
      <c r="A47">
        <v>1046</v>
      </c>
      <c r="B47" t="s">
        <v>78</v>
      </c>
      <c r="C47" t="s">
        <v>28</v>
      </c>
      <c r="D47" t="s">
        <v>32</v>
      </c>
      <c r="E47">
        <v>17</v>
      </c>
      <c r="F47">
        <v>25</v>
      </c>
      <c r="G47" s="22">
        <v>45355</v>
      </c>
    </row>
    <row r="48" spans="1:7" x14ac:dyDescent="0.3">
      <c r="A48">
        <v>1047</v>
      </c>
      <c r="B48" t="s">
        <v>79</v>
      </c>
      <c r="C48" t="s">
        <v>31</v>
      </c>
      <c r="D48" t="s">
        <v>36</v>
      </c>
      <c r="E48">
        <v>19</v>
      </c>
      <c r="F48">
        <v>5</v>
      </c>
      <c r="G48" s="22">
        <v>45356</v>
      </c>
    </row>
    <row r="49" spans="1:7" x14ac:dyDescent="0.3">
      <c r="A49">
        <v>1048</v>
      </c>
      <c r="B49" t="s">
        <v>80</v>
      </c>
      <c r="C49" t="s">
        <v>34</v>
      </c>
      <c r="D49" t="s">
        <v>39</v>
      </c>
      <c r="E49">
        <v>32</v>
      </c>
      <c r="F49">
        <v>8</v>
      </c>
      <c r="G49" s="22">
        <v>45357</v>
      </c>
    </row>
    <row r="50" spans="1:7" x14ac:dyDescent="0.3">
      <c r="A50">
        <v>1049</v>
      </c>
      <c r="B50" t="s">
        <v>81</v>
      </c>
      <c r="C50" t="s">
        <v>25</v>
      </c>
      <c r="D50" t="s">
        <v>26</v>
      </c>
      <c r="E50">
        <v>12</v>
      </c>
      <c r="F50">
        <v>50</v>
      </c>
      <c r="G50" s="22">
        <v>45358</v>
      </c>
    </row>
    <row r="51" spans="1:7" x14ac:dyDescent="0.3">
      <c r="A51">
        <v>1050</v>
      </c>
      <c r="B51" t="s">
        <v>82</v>
      </c>
      <c r="C51" t="s">
        <v>28</v>
      </c>
      <c r="D51" t="s">
        <v>29</v>
      </c>
      <c r="E51">
        <v>25</v>
      </c>
      <c r="F51">
        <v>10</v>
      </c>
      <c r="G51" s="22">
        <v>45359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B38A6-F16A-4724-9EFC-068A938D61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Question 1</vt:lpstr>
      <vt:lpstr>Question 2</vt:lpstr>
      <vt:lpstr>Question 3</vt:lpstr>
      <vt:lpstr>Question 4</vt:lpstr>
      <vt:lpstr>Qusetion 5</vt:lpstr>
      <vt:lpstr>Question 6</vt:lpstr>
      <vt:lpstr>Question 7</vt:lpstr>
      <vt:lpstr>Question 8</vt:lpstr>
      <vt:lpstr>Dataset - Sheet1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916291830426</dc:creator>
  <cp:lastModifiedBy>916291830426</cp:lastModifiedBy>
  <dcterms:created xsi:type="dcterms:W3CDTF">2025-12-03T14:14:21Z</dcterms:created>
  <dcterms:modified xsi:type="dcterms:W3CDTF">2025-12-04T17:25:46Z</dcterms:modified>
</cp:coreProperties>
</file>